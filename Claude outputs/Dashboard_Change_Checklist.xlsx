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Case" sheetId="1" state="visible" r:id="rId3"/>
    <sheet name="Compare" sheetId="2" state="visible" r:id="rId4"/>
    <sheet name="Evidenc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<sst xmlns="http://schemas.openxmlformats.org/spreadsheetml/2006/main" count="200" uniqueCount="152">
  <si>
    <t xml:space="preserve">MGT Dashboard — Change Test Checklist (Consumption &amp; MB51)</t>
  </si>
  <si>
    <t xml:space="preserve">เปลี่ยนแหล่งข้อมูล Consumption จาก Billing → MB51 และเพิ่มแท็บ Movements (MB51) ในหน้า MD04-02</t>
  </si>
  <si>
    <t xml:space="preserve">Project</t>
  </si>
  <si>
    <t xml:space="preserve">MGT BI Dashboard — MD04-02 Monitor Stock / Requirements List</t>
  </si>
  <si>
    <t xml:space="preserve">Total cases</t>
  </si>
  <si>
    <t xml:space="preserve">Pass rate</t>
  </si>
  <si>
    <t xml:space="preserve">Environment</t>
  </si>
  <si>
    <t xml:space="preserve">DEV / UAT</t>
  </si>
  <si>
    <t xml:space="preserve">Pass</t>
  </si>
  <si>
    <t xml:space="preserve">Tested by</t>
  </si>
  <si>
    <t xml:space="preserve">Kanomwan</t>
  </si>
  <si>
    <t xml:space="preserve">Fail</t>
  </si>
  <si>
    <t xml:space="preserve">คิดจากเคสที่มีรายละเอียด (คอลัมน์ C) เท่านั้น</t>
  </si>
  <si>
    <t xml:space="preserve">Version / Date</t>
  </si>
  <si>
    <t xml:space="preserve">2026-10-21</t>
  </si>
  <si>
    <t xml:space="preserve">Pending</t>
  </si>
  <si>
    <t xml:space="preserve">Evidence</t>
  </si>
  <si>
    <t xml:space="preserve">ภาพประกอบอยู่ในชีต "Evidence"  ·  ตารางเทียบตัวเลขอยู่ในชีต "Compare"</t>
  </si>
  <si>
    <t xml:space="preserve">N/A</t>
  </si>
  <si>
    <t xml:space="preserve">Test ID</t>
  </si>
  <si>
    <t xml:space="preserve">Area</t>
  </si>
  <si>
    <t xml:space="preserve">Test Case</t>
  </si>
  <si>
    <t xml:space="preserve">Expected Result</t>
  </si>
  <si>
    <t xml:space="preserve">Result</t>
  </si>
  <si>
    <t xml:space="preserve">Tested At</t>
  </si>
  <si>
    <t xml:space="preserve">Remark / Evidence</t>
  </si>
  <si>
    <t xml:space="preserve">T01</t>
  </si>
  <si>
    <t xml:space="preserve">MB51 — Movements tab</t>
  </si>
  <si>
    <t xml:space="preserve">เปิดหน้า MD04-02 ค้น ADIC01-SG-PA-01 กดแท็บ Movements (MB51)</t>
  </si>
  <si>
    <t xml:space="preserve">แสดงรายการเคลื่อนไหวครบตามช่วงวันที่ · คอลัมน์ Posting Date / Material Document / MvT / Qty ตรงกับ MB51 ใน SAP ทุกแถว</t>
  </si>
  <si>
    <t xml:space="preserve">ตรงกับ SAP ครบ 3 แถวในช่วง 21-Jul→30-Nov-2026 (601 21.10=-2 · 101 03.09=+32 · 601 31.08=-1) แถว 14.07.2026 ไม่ขึ้นถูกแล้วเพราะอยู่นอกช่วง · ภาพ E01/E02</t>
  </si>
  <si>
    <t xml:space="preserve">T02</t>
  </si>
  <si>
    <t xml:space="preserve">เปิดหน้า MD04-02 ค้น AMIC01-SG-BT-01 กดแท็บ Movements (MB51)</t>
  </si>
  <si>
    <t xml:space="preserve">แสดงรายการเคลื่อนไหวครบตามช่วงวันที่ · จำนวนแถวและ Qty รวม ตรงกับ MB51 ใน SAP</t>
  </si>
  <si>
    <t xml:space="preserve">เทียบภาพ E04 กับ E05</t>
  </si>
  <si>
    <t xml:space="preserve">T03</t>
  </si>
  <si>
    <t xml:space="preserve">เปิดหน้า MD04-02 ค้น CAAL02-CN-BG-01 กดแท็บ Movements (MB51)</t>
  </si>
  <si>
    <t xml:space="preserve">เทียบภาพ E07 กับ E08</t>
  </si>
  <si>
    <t xml:space="preserve">T04</t>
  </si>
  <si>
    <t xml:space="preserve">Consumption — Export</t>
  </si>
  <si>
    <t xml:space="preserve">กด Export Consumption ของ ADIC01-SG-PA-01 แล้วเปิดคอลัมน์เดือน 10 (ต.ค. 2026)</t>
  </si>
  <si>
    <t xml:space="preserve">ยอดเดือน 10 เท่ากับผลรวม Qty ของ movement 601/261/201 ใน MB51 (หักรายการกลับรายการแล้ว)</t>
  </si>
  <si>
    <t xml:space="preserve">ต.ค.2026=2, ต.ค.2025=2, ธ.ค.2025=1, รวมปี2026=10, KG=50 (2×25) ตรงกับ MB51 ทุกค่า · ภาพ E03</t>
  </si>
  <si>
    <t xml:space="preserve">T05</t>
  </si>
  <si>
    <t xml:space="preserve">กด Export Consumption ของ AMIC01-SG-BT-01 แล้วเปิดคอลัมน์เดือน 10 (ต.ค. 2026)</t>
  </si>
  <si>
    <t xml:space="preserve">กรอกตัวเลขในชีต Compare</t>
  </si>
  <si>
    <t xml:space="preserve">T06</t>
  </si>
  <si>
    <t xml:space="preserve">กด Export Consumption ของ CAAL02-CN-BG-01 แล้วเปิดคอลัมน์เดือน 10 (ต.ค. 2026)</t>
  </si>
  <si>
    <t xml:space="preserve">T07</t>
  </si>
  <si>
    <t xml:space="preserve">Consumption — Data source</t>
  </si>
  <si>
    <t xml:space="preserve">ตรวจรอยต่อแหล่งข้อมูลที่ GoLiveDate (01-07-2025)</t>
  </si>
  <si>
    <t xml:space="preserve">เดือนก่อน 07/2025 ดึงจาก Billing (View_MGT_GLC_ALL_Sales) · ตั้งแต่ 07/2025 ดึงจาก MB51 · มีบรรทัดหมายเหตุระบุจุดตัดในไฟล์ Excel</t>
  </si>
  <si>
    <t xml:space="preserve">ปี 2023=2 / 2024=1 มาจาก billing (ก่อน 01-07-2025) · ปี 2025 รวม 8 = billing ม.ค.-มิ.ย. (2) + MB51 ก.ค.-ธ.ค. (6) · มีบรรทัดหมายเหตุจุดตัดในไฟล์ Excel</t>
  </si>
  <si>
    <t xml:space="preserve">T08</t>
  </si>
  <si>
    <t xml:space="preserve">Consumption — Movement scope</t>
  </si>
  <si>
    <t xml:space="preserve">ตรวจว่านับ movement type ถูกชุด</t>
  </si>
  <si>
    <t xml:space="preserve">นับ 601/602 · 261/262 · 201/202 เท่านั้น · ไม่นับโอนย้าย 301/311 และตรวจนับ 701/702</t>
  </si>
  <si>
    <t xml:space="preserve">พ.ย.2025 มี 311 (32/32-) และ 101 (32) แต่รายงานขึ้น 0 → คัดเฉพาะ 601/261/201 ได้จริง (ยืนยันจาก ADIC01-SG-PA-01)</t>
  </si>
  <si>
    <t xml:space="preserve">T09</t>
  </si>
  <si>
    <t xml:space="preserve">Consumption — Sign / reversal</t>
  </si>
  <si>
    <r>
      <rPr>
        <sz val="10"/>
        <rFont val="Tahoma"/>
        <family val="0"/>
        <charset val="1"/>
      </rPr>
      <t xml:space="preserve">material </t>
    </r>
    <r>
      <rPr>
        <sz val="10"/>
        <rFont val="FreeSans"/>
        <family val="2"/>
      </rPr>
      <t xml:space="preserve">ที่มีรายการกลับรายการ </t>
    </r>
    <r>
      <rPr>
        <sz val="10"/>
        <rFont val="Tahoma"/>
        <family val="0"/>
        <charset val="1"/>
      </rPr>
      <t xml:space="preserve">(602/262/202) </t>
    </r>
    <r>
      <rPr>
        <sz val="10"/>
        <rFont val="FreeSans"/>
        <family val="2"/>
      </rPr>
      <t xml:space="preserve">ในเดือนเดียวกัน</t>
    </r>
  </si>
  <si>
    <t xml:space="preserve">ยอดสุทธิถูกหักออก ไม่บวกซ้ำ · ผลรวมเดือนนั้นเท่ากับ SAP</t>
  </si>
  <si>
    <t xml:space="preserve">T10</t>
  </si>
  <si>
    <t xml:space="preserve">Consumption — Year range</t>
  </si>
  <si>
    <t xml:space="preserve">ตรวจคอลัมน์ปีในไฟล์ Excel</t>
  </si>
  <si>
    <t xml:space="preserve">มีครบทุกปีตั้งแต่ 2020 ถึงปีปัจจุบัน · เดือนที่ไม่มียอดแสดงเป็นช่องว่าง ไม่ใช่คอลัมน์หาย</t>
  </si>
  <si>
    <t xml:space="preserve">T11</t>
  </si>
  <si>
    <t xml:space="preserve">Consumption — KG conversion</t>
  </si>
  <si>
    <t xml:space="preserve">ตรวจคอลัมน์ (KG) เทียบกับคอลัมน์จำนวน</t>
  </si>
  <si>
    <r>
      <rPr>
        <sz val="10"/>
        <rFont val="Tahoma"/>
        <family val="0"/>
        <charset val="1"/>
      </rPr>
      <t xml:space="preserve">KG = </t>
    </r>
    <r>
      <rPr>
        <sz val="10"/>
        <rFont val="FreeSans"/>
        <family val="2"/>
      </rPr>
      <t xml:space="preserve">จำนวน </t>
    </r>
    <r>
      <rPr>
        <sz val="10"/>
        <rFont val="Tahoma"/>
        <family val="0"/>
        <charset val="1"/>
      </rPr>
      <t xml:space="preserve">× NetWeight </t>
    </r>
    <r>
      <rPr>
        <sz val="10"/>
        <rFont val="FreeSans"/>
        <family val="2"/>
      </rPr>
      <t xml:space="preserve">ของ </t>
    </r>
    <r>
      <rPr>
        <sz val="10"/>
        <rFont val="Tahoma"/>
        <family val="0"/>
        <charset val="1"/>
      </rPr>
      <t xml:space="preserve">material </t>
    </r>
    <r>
      <rPr>
        <sz val="10"/>
        <rFont val="FreeSans"/>
        <family val="2"/>
      </rPr>
      <t xml:space="preserve">นั้น </t>
    </r>
    <r>
      <rPr>
        <sz val="10"/>
        <rFont val="Tahoma"/>
        <family val="0"/>
        <charset val="1"/>
      </rPr>
      <t xml:space="preserve">· </t>
    </r>
    <r>
      <rPr>
        <sz val="10"/>
        <rFont val="FreeSans"/>
        <family val="2"/>
      </rPr>
      <t xml:space="preserve">ถ้า </t>
    </r>
    <r>
      <rPr>
        <sz val="10"/>
        <rFont val="Tahoma"/>
        <family val="0"/>
        <charset val="1"/>
      </rPr>
      <t xml:space="preserve">base unit </t>
    </r>
    <r>
      <rPr>
        <sz val="10"/>
        <rFont val="FreeSans"/>
        <family val="2"/>
      </rPr>
      <t xml:space="preserve">เป็น </t>
    </r>
    <r>
      <rPr>
        <sz val="10"/>
        <rFont val="Tahoma"/>
        <family val="0"/>
        <charset val="1"/>
      </rPr>
      <t xml:space="preserve">KG </t>
    </r>
    <r>
      <rPr>
        <sz val="10"/>
        <rFont val="FreeSans"/>
        <family val="2"/>
      </rPr>
      <t xml:space="preserve">อยู่แล้วให้ใช้ค่าตรง ไม่คูณซ้ำ</t>
    </r>
  </si>
  <si>
    <t xml:space="preserve">2 PL × NetWeight 25 KG = 50 KG · รวมทั้งไฟล์ 21 PL = 525 KG ถูกต้อง</t>
  </si>
  <si>
    <t xml:space="preserve">T12</t>
  </si>
  <si>
    <t xml:space="preserve">MB51 — Posting date</t>
  </si>
  <si>
    <t xml:space="preserve">เอกสารที่ posting date ไม่ตรงกับ document date</t>
  </si>
  <si>
    <t xml:space="preserve">ระบบจัดกลุ่มตาม Posting Date ตามที่ SAP แสดงใน MB51 · เอกสารที่ post ล่วงหน้ายังถูกนับ</t>
  </si>
  <si>
    <t xml:space="preserve">เคสเดิม 4900023281</t>
  </si>
  <si>
    <t xml:space="preserve">T13</t>
  </si>
  <si>
    <t xml:space="preserve">MB51 — Date filter</t>
  </si>
  <si>
    <t xml:space="preserve">เปลี่ยนช่วงวันที่ Posting บนแท็บ Movements</t>
  </si>
  <si>
    <t xml:space="preserve">ตารางโหลดใหม่อัตโนมัติ · จำนวนแถวเปลี่ยนตามช่วงที่เลือก</t>
  </si>
  <si>
    <t xml:space="preserve">T14</t>
  </si>
  <si>
    <t xml:space="preserve">UX — Refresh (F5)</t>
  </si>
  <si>
    <t xml:space="preserve">ค้น material → สลับแท็บ Movements → เปลี่ยนช่วงวันที่ → กด F5</t>
  </si>
  <si>
    <t xml:space="preserve">กลับมาที่แท็บ Movements พร้อม material ช่วงวันที่ และข้อมูลเดิม · URL มี ?material=&amp;tab=mov&amp;from=&amp;to=</t>
  </si>
  <si>
    <t xml:space="preserve">T15</t>
  </si>
  <si>
    <t xml:space="preserve">UX — Auth after refresh</t>
  </si>
  <si>
    <r>
      <rPr>
        <sz val="10"/>
        <rFont val="Tahoma"/>
        <family val="0"/>
        <charset val="1"/>
      </rPr>
      <t xml:space="preserve">logout </t>
    </r>
    <r>
      <rPr>
        <sz val="10"/>
        <rFont val="FreeSans"/>
        <family val="2"/>
      </rPr>
      <t xml:space="preserve">แล้ว </t>
    </r>
    <r>
      <rPr>
        <sz val="10"/>
        <rFont val="Tahoma"/>
        <family val="0"/>
        <charset val="1"/>
      </rPr>
      <t xml:space="preserve">paste URL </t>
    </r>
    <r>
      <rPr>
        <sz val="10"/>
        <rFont val="FreeSans"/>
        <family val="2"/>
      </rPr>
      <t xml:space="preserve">ที่มี </t>
    </r>
    <r>
      <rPr>
        <sz val="10"/>
        <rFont val="Tahoma"/>
        <family val="0"/>
        <charset val="1"/>
      </rPr>
      <t xml:space="preserve">?material=... </t>
    </r>
    <r>
      <rPr>
        <sz val="10"/>
        <rFont val="FreeSans"/>
        <family val="2"/>
      </rPr>
      <t xml:space="preserve">เข้าไปใหม่</t>
    </r>
  </si>
  <si>
    <t xml:space="preserve">เด้งกลับหน้า login เงียบ ๆ ไม่ขึ้น exception "Token is missing"</t>
  </si>
  <si>
    <t xml:space="preserve">T16</t>
  </si>
  <si>
    <t xml:space="preserve">Permission</t>
  </si>
  <si>
    <t xml:space="preserve">ทดสอบด้วย user ที่ CanViewCost / CanViewCustomer / CanViewVendor = false</t>
  </si>
  <si>
    <t xml:space="preserve">คอลัมน์ Amount / Customer / Supplier ถูกซ่อน · ปุ่ม Export Consumption ไม่แสดงสำหรับ Sales role=user</t>
  </si>
  <si>
    <t xml:space="preserve">T17</t>
  </si>
  <si>
    <t xml:space="preserve">Permission — Plant scope</t>
  </si>
  <si>
    <t xml:space="preserve">ทดสอบด้วย user คนละ CompanyID</t>
  </si>
  <si>
    <t xml:space="preserve">เห็นเฉพาะ plant ของบริษัทตัวเอง (1100/2100) · plant 1900 ไม่ถูกนับในทุกกรณี</t>
  </si>
  <si>
    <t xml:space="preserve">T18</t>
  </si>
  <si>
    <t xml:space="preserve">Logging</t>
  </si>
  <si>
    <t xml:space="preserve">กด Export Consumption 1 ครั้ง</t>
  </si>
  <si>
    <t xml:space="preserve">มี record ใน ActivityLog และ DownloadLog พร้อมชื่อไฟล์และ username</t>
  </si>
  <si>
    <t xml:space="preserve">T19</t>
  </si>
  <si>
    <t xml:space="preserve">Regression — MD04</t>
  </si>
  <si>
    <t xml:space="preserve">กดแท็บ Requirements (MD04) หลังจากใช้แท็บ Movements</t>
  </si>
  <si>
    <t xml:space="preserve">ตาราง MRP element แสดงเหมือนเดิมทุกคอลัมน์ · ปุ่ม Vendor / Customer ยังซ่อนคอลัมน์ได้ปกติ</t>
  </si>
  <si>
    <t xml:space="preserve">T20</t>
  </si>
  <si>
    <t xml:space="preserve">Config</t>
  </si>
  <si>
    <t xml:space="preserve">ลบ section SapConfig:MaterialDocument ออกจาก appsettings ชั่วคราว</t>
  </si>
  <si>
    <t xml:space="preserve">ขึ้นข้อความชัดเจน "Missing config: SapConfig:MaterialDocument" ไม่ใช่ error ว่าง ๆ</t>
  </si>
  <si>
    <t xml:space="preserve">ทดสอบบน DEV เท่านั้น</t>
  </si>
  <si>
    <t xml:space="preserve">วิธีใช้  ·  ช่องพื้นเหลือง = ช่องที่ต้องกรอก</t>
  </si>
  <si>
    <t xml:space="preserve">•  คอลัมน์ E (Result) — เลือกจาก dropdown: Pending / Pass / Fail / N/A</t>
  </si>
  <si>
    <t xml:space="preserve">•  คอลัมน์ F (Tested At) — เติมวันที่ให้เองเมื่อ Result = "Pass" ไม่ต้องพิมพ์</t>
  </si>
  <si>
    <t xml:space="preserve">•  คอลัมน์ G (Remark) — ใส่หมายเหตุ หรือเลขภาพประกอบในชีต Evidence</t>
  </si>
  <si>
    <t xml:space="preserve">•  ชีต Compare — กรอกตัวเลขจาก 3 แหล่ง (Dashboard / SAP / Excel) ระบบจะคำนวณส่วนต่างและสถานะให้</t>
  </si>
  <si>
    <t xml:space="preserve">•  ชีต Evidence — วางภาพหน้าจอตามหัวข้อที่เตรียมไว้ (E01–E09)</t>
  </si>
  <si>
    <t xml:space="preserve">   ตัวอย่างการกรอก:  T01 | Result = Pass | Remark = "ตรงกับ SAP ทั้ง 12 แถว (ภาพ E01/E02)"</t>
  </si>
  <si>
    <t xml:space="preserve">เทียบตัวเลข 3 แหล่ง — Dashboard MB51 · SAP MB51 · Excel Consumption</t>
  </si>
  <si>
    <t xml:space="preserve">กรอกเฉพาะช่องพื้นเหลือง (C, D, E) — คอลัมน์ F, G, H คำนวณให้อัตโนมัติ · หน่วยให้ใช้ base unit เดียวกันทั้ง 3 ช่อง</t>
  </si>
  <si>
    <t xml:space="preserve">Material</t>
  </si>
  <si>
    <t xml:space="preserve">เดือน</t>
  </si>
  <si>
    <t xml:space="preserve">Dashboard MB51</t>
  </si>
  <si>
    <t xml:space="preserve">SAP MB51 (MB51)</t>
  </si>
  <si>
    <t xml:space="preserve">Excel Consumption</t>
  </si>
  <si>
    <t xml:space="preserve">Diff (Dash-SAP)</t>
  </si>
  <si>
    <t xml:space="preserve">Diff (Excel-SAP)</t>
  </si>
  <si>
    <t xml:space="preserve">Status</t>
  </si>
  <si>
    <t xml:space="preserve">ADIC01-SG-PA-01</t>
  </si>
  <si>
    <t xml:space="preserve">2026/08</t>
  </si>
  <si>
    <t xml:space="preserve">2026/09</t>
  </si>
  <si>
    <t xml:space="preserve">2026/10</t>
  </si>
  <si>
    <t xml:space="preserve">AMIC01-SG-BT-01</t>
  </si>
  <si>
    <t xml:space="preserve">CAAL02-CN-BG-01</t>
  </si>
  <si>
    <t xml:space="preserve">หมายเหตุ: "Match" = ทั้ง 3 แหล่งตรงกันในระดับทศนิยม 3 ตำแหน่ง · ถ้า Diff (Dash-SAP) = 0 แต่ Diff (Excel-SAP) ≠ 0 แปลว่าหน้าเว็บถูก แต่การรวมยอดในไฟล์ Excel ผิด</t>
  </si>
  <si>
    <r>
      <rPr>
        <sz val="9"/>
        <color rgb="FF9C0006"/>
        <rFont val="Tahoma"/>
        <family val="0"/>
        <charset val="1"/>
      </rPr>
      <t xml:space="preserve">ADIC01-SG-PA-01: </t>
    </r>
    <r>
      <rPr>
        <sz val="9"/>
        <color rgb="FF9C0006"/>
        <rFont val="FreeSans"/>
        <family val="2"/>
      </rPr>
      <t xml:space="preserve">ส</t>
    </r>
    <r>
      <rPr>
        <sz val="9"/>
        <color rgb="FF9C0006"/>
        <rFont val="Tahoma"/>
        <family val="0"/>
        <charset val="1"/>
      </rPr>
      <t xml:space="preserve">.</t>
    </r>
    <r>
      <rPr>
        <sz val="9"/>
        <color rgb="FF9C0006"/>
        <rFont val="FreeSans"/>
        <family val="2"/>
      </rPr>
      <t xml:space="preserve">ค</t>
    </r>
    <r>
      <rPr>
        <sz val="9"/>
        <color rgb="FF9C0006"/>
        <rFont val="Tahoma"/>
        <family val="0"/>
        <charset val="1"/>
      </rPr>
      <t xml:space="preserve">./</t>
    </r>
    <r>
      <rPr>
        <sz val="9"/>
        <color rgb="FF9C0006"/>
        <rFont val="FreeSans"/>
        <family val="2"/>
      </rPr>
      <t xml:space="preserve">ก</t>
    </r>
    <r>
      <rPr>
        <sz val="9"/>
        <color rgb="FF9C0006"/>
        <rFont val="Tahoma"/>
        <family val="0"/>
        <charset val="1"/>
      </rPr>
      <t xml:space="preserve">.</t>
    </r>
    <r>
      <rPr>
        <sz val="9"/>
        <color rgb="FF9C0006"/>
        <rFont val="FreeSans"/>
        <family val="2"/>
      </rPr>
      <t xml:space="preserve">ย</t>
    </r>
    <r>
      <rPr>
        <sz val="9"/>
        <color rgb="FF9C0006"/>
        <rFont val="Tahoma"/>
        <family val="0"/>
        <charset val="1"/>
      </rPr>
      <t xml:space="preserve">. 2026 </t>
    </r>
    <r>
      <rPr>
        <sz val="9"/>
        <color rgb="FF9C0006"/>
        <rFont val="FreeSans"/>
        <family val="2"/>
      </rPr>
      <t xml:space="preserve">ยังไม่ได้กรอกช่อง </t>
    </r>
    <r>
      <rPr>
        <sz val="9"/>
        <color rgb="FF9C0006"/>
        <rFont val="Tahoma"/>
        <family val="0"/>
        <charset val="1"/>
      </rPr>
      <t xml:space="preserve">Excel </t>
    </r>
    <r>
      <rPr>
        <sz val="9"/>
        <color rgb="FF9C0006"/>
        <rFont val="FreeSans"/>
        <family val="2"/>
      </rPr>
      <t xml:space="preserve">เพราะภาพที่ส่งมาถูกครอปเหลือเฉพาะคอลัมน์ ต</t>
    </r>
    <r>
      <rPr>
        <sz val="9"/>
        <color rgb="FF9C0006"/>
        <rFont val="Tahoma"/>
        <family val="0"/>
        <charset val="1"/>
      </rPr>
      <t xml:space="preserve">.</t>
    </r>
    <r>
      <rPr>
        <sz val="9"/>
        <color rgb="FF9C0006"/>
        <rFont val="FreeSans"/>
        <family val="2"/>
      </rPr>
      <t xml:space="preserve">ค</t>
    </r>
    <r>
      <rPr>
        <sz val="9"/>
        <color rgb="FF9C0006"/>
        <rFont val="Tahoma"/>
        <family val="0"/>
        <charset val="1"/>
      </rPr>
      <t xml:space="preserve">.-</t>
    </r>
    <r>
      <rPr>
        <sz val="9"/>
        <color rgb="FF9C0006"/>
        <rFont val="FreeSans"/>
        <family val="2"/>
      </rPr>
      <t xml:space="preserve">ธ</t>
    </r>
    <r>
      <rPr>
        <sz val="9"/>
        <color rgb="FF9C0006"/>
        <rFont val="Tahoma"/>
        <family val="0"/>
        <charset val="1"/>
      </rPr>
      <t xml:space="preserve">.</t>
    </r>
    <r>
      <rPr>
        <sz val="9"/>
        <color rgb="FF9C0006"/>
        <rFont val="FreeSans"/>
        <family val="2"/>
      </rPr>
      <t xml:space="preserve">ค</t>
    </r>
    <r>
      <rPr>
        <sz val="9"/>
        <color rgb="FF9C0006"/>
        <rFont val="Tahoma"/>
        <family val="0"/>
        <charset val="1"/>
      </rPr>
      <t xml:space="preserve">. — </t>
    </r>
    <r>
      <rPr>
        <sz val="9"/>
        <color rgb="FF9C0006"/>
        <rFont val="FreeSans"/>
        <family val="2"/>
      </rPr>
      <t xml:space="preserve">เปิดไฟล์เต็มแล้วกรอกเพิ่มได้  </t>
    </r>
    <r>
      <rPr>
        <sz val="9"/>
        <color rgb="FF9C0006"/>
        <rFont val="Tahoma"/>
        <family val="0"/>
        <charset val="1"/>
      </rPr>
      <t xml:space="preserve">·  </t>
    </r>
    <r>
      <rPr>
        <sz val="9"/>
        <color rgb="FF9C0006"/>
        <rFont val="FreeSans"/>
        <family val="2"/>
      </rPr>
      <t xml:space="preserve">ก</t>
    </r>
    <r>
      <rPr>
        <sz val="9"/>
        <color rgb="FF9C0006"/>
        <rFont val="Tahoma"/>
        <family val="0"/>
        <charset val="1"/>
      </rPr>
      <t xml:space="preserve">.</t>
    </r>
    <r>
      <rPr>
        <sz val="9"/>
        <color rgb="FF9C0006"/>
        <rFont val="FreeSans"/>
        <family val="2"/>
      </rPr>
      <t xml:space="preserve">ย</t>
    </r>
    <r>
      <rPr>
        <sz val="9"/>
        <color rgb="FF9C0006"/>
        <rFont val="Tahoma"/>
        <family val="0"/>
        <charset val="1"/>
      </rPr>
      <t xml:space="preserve">. 2026 </t>
    </r>
    <r>
      <rPr>
        <sz val="9"/>
        <color rgb="FF9C0006"/>
        <rFont val="FreeSans"/>
        <family val="2"/>
      </rPr>
      <t xml:space="preserve">คาดว่าเป็น </t>
    </r>
    <r>
      <rPr>
        <sz val="9"/>
        <color rgb="FF9C0006"/>
        <rFont val="Tahoma"/>
        <family val="0"/>
        <charset val="1"/>
      </rPr>
      <t xml:space="preserve">0 </t>
    </r>
    <r>
      <rPr>
        <sz val="9"/>
        <color rgb="FF9C0006"/>
        <rFont val="FreeSans"/>
        <family val="2"/>
      </rPr>
      <t xml:space="preserve">เพราะเอกสาร </t>
    </r>
    <r>
      <rPr>
        <sz val="9"/>
        <color rgb="FF9C0006"/>
        <rFont val="Tahoma"/>
        <family val="0"/>
        <charset val="1"/>
      </rPr>
      <t xml:space="preserve">03.09 </t>
    </r>
    <r>
      <rPr>
        <sz val="9"/>
        <color rgb="FF9C0006"/>
        <rFont val="FreeSans"/>
        <family val="2"/>
      </rPr>
      <t xml:space="preserve">เป็น </t>
    </r>
    <r>
      <rPr>
        <sz val="9"/>
        <color rgb="FF9C0006"/>
        <rFont val="Tahoma"/>
        <family val="0"/>
        <charset val="1"/>
      </rPr>
      <t xml:space="preserve">101 (</t>
    </r>
    <r>
      <rPr>
        <sz val="9"/>
        <color rgb="FF9C0006"/>
        <rFont val="FreeSans"/>
        <family val="2"/>
      </rPr>
      <t xml:space="preserve">รับเข้า</t>
    </r>
    <r>
      <rPr>
        <sz val="9"/>
        <color rgb="FF9C0006"/>
        <rFont val="Tahoma"/>
        <family val="0"/>
        <charset val="1"/>
      </rPr>
      <t xml:space="preserve">) </t>
    </r>
    <r>
      <rPr>
        <sz val="9"/>
        <color rgb="FF9C0006"/>
        <rFont val="FreeSans"/>
        <family val="2"/>
      </rPr>
      <t xml:space="preserve">ไม่ใช่ยอดใช้</t>
    </r>
  </si>
  <si>
    <r>
      <rPr>
        <b val="true"/>
        <sz val="12"/>
        <color rgb="FF1F3864"/>
        <rFont val="Tahoma"/>
        <family val="0"/>
        <charset val="1"/>
      </rPr>
      <t xml:space="preserve">Test Evidence — </t>
    </r>
    <r>
      <rPr>
        <b val="true"/>
        <sz val="12"/>
        <color rgb="FF1F3864"/>
        <rFont val="FreeSans"/>
        <family val="2"/>
      </rPr>
      <t xml:space="preserve">ภาพประกอบผลการทดสอบ</t>
    </r>
  </si>
  <si>
    <t xml:space="preserve">วางภาพหน้าจอใต้หัวข้อแต่ละอัน · อ้างอิงรหัสภาพ (E01–E09) กลับไปที่คอลัมน์ Remark ในชีต TestCase</t>
  </si>
  <si>
    <t xml:space="preserve">  ADIC01-SG-PA-01</t>
  </si>
  <si>
    <r>
      <rPr>
        <b val="true"/>
        <sz val="10"/>
        <rFont val="Tahoma"/>
        <family val="0"/>
        <charset val="1"/>
      </rPr>
      <t xml:space="preserve">E01  —  </t>
    </r>
    <r>
      <rPr>
        <b val="true"/>
        <sz val="10"/>
        <rFont val="FreeSans"/>
        <family val="2"/>
      </rPr>
      <t xml:space="preserve">หน้า </t>
    </r>
    <r>
      <rPr>
        <b val="true"/>
        <sz val="10"/>
        <rFont val="Tahoma"/>
        <family val="0"/>
        <charset val="1"/>
      </rPr>
      <t xml:space="preserve">Dashboard — </t>
    </r>
    <r>
      <rPr>
        <b val="true"/>
        <sz val="10"/>
        <rFont val="FreeSans"/>
        <family val="2"/>
      </rPr>
      <t xml:space="preserve">แท็บ </t>
    </r>
    <r>
      <rPr>
        <b val="true"/>
        <sz val="10"/>
        <rFont val="Tahoma"/>
        <family val="0"/>
        <charset val="1"/>
      </rPr>
      <t xml:space="preserve">Movements (MB51)</t>
    </r>
  </si>
  <si>
    <r>
      <rPr>
        <i val="true"/>
        <sz val="8"/>
        <color rgb="FF595959"/>
        <rFont val="Tahoma"/>
        <family val="0"/>
        <charset val="1"/>
      </rPr>
      <t xml:space="preserve">(</t>
    </r>
    <r>
      <rPr>
        <i val="true"/>
        <sz val="8"/>
        <color rgb="FF595959"/>
        <rFont val="FreeSans"/>
        <family val="2"/>
      </rPr>
      <t xml:space="preserve">ให้เห็นช่อง </t>
    </r>
    <r>
      <rPr>
        <i val="true"/>
        <sz val="8"/>
        <color rgb="FF595959"/>
        <rFont val="Tahoma"/>
        <family val="0"/>
        <charset val="1"/>
      </rPr>
      <t xml:space="preserve">Material, </t>
    </r>
    <r>
      <rPr>
        <i val="true"/>
        <sz val="8"/>
        <color rgb="FF595959"/>
        <rFont val="FreeSans"/>
        <family val="2"/>
      </rPr>
      <t xml:space="preserve">ช่วง </t>
    </r>
    <r>
      <rPr>
        <i val="true"/>
        <sz val="8"/>
        <color rgb="FF595959"/>
        <rFont val="Tahoma"/>
        <family val="0"/>
        <charset val="1"/>
      </rPr>
      <t xml:space="preserve">Posting date </t>
    </r>
    <r>
      <rPr>
        <i val="true"/>
        <sz val="8"/>
        <color rgb="FF595959"/>
        <rFont val="FreeSans"/>
        <family val="2"/>
      </rPr>
      <t xml:space="preserve">และจำนวน </t>
    </r>
    <r>
      <rPr>
        <i val="true"/>
        <sz val="8"/>
        <color rgb="FF595959"/>
        <rFont val="Tahoma"/>
        <family val="0"/>
        <charset val="1"/>
      </rPr>
      <t xml:space="preserve">record)</t>
    </r>
  </si>
  <si>
    <t xml:space="preserve">⬇  วางภาพที่นี่</t>
  </si>
  <si>
    <r>
      <rPr>
        <b val="true"/>
        <sz val="10"/>
        <rFont val="Tahoma"/>
        <family val="0"/>
        <charset val="1"/>
      </rPr>
      <t xml:space="preserve">E02  —  </t>
    </r>
    <r>
      <rPr>
        <b val="true"/>
        <sz val="10"/>
        <rFont val="FreeSans"/>
        <family val="2"/>
      </rPr>
      <t xml:space="preserve">หน้า </t>
    </r>
    <r>
      <rPr>
        <b val="true"/>
        <sz val="10"/>
        <rFont val="Tahoma"/>
        <family val="0"/>
        <charset val="1"/>
      </rPr>
      <t xml:space="preserve">SAP — MB51 Material Document List</t>
    </r>
  </si>
  <si>
    <r>
      <rPr>
        <i val="true"/>
        <sz val="8"/>
        <color rgb="FF595959"/>
        <rFont val="Tahoma"/>
        <family val="0"/>
        <charset val="1"/>
      </rPr>
      <t xml:space="preserve">(</t>
    </r>
    <r>
      <rPr>
        <i val="true"/>
        <sz val="8"/>
        <color rgb="FF595959"/>
        <rFont val="FreeSans"/>
        <family val="2"/>
      </rPr>
      <t xml:space="preserve">กรองด้วย </t>
    </r>
    <r>
      <rPr>
        <i val="true"/>
        <sz val="8"/>
        <color rgb="FF595959"/>
        <rFont val="Tahoma"/>
        <family val="0"/>
        <charset val="1"/>
      </rPr>
      <t xml:space="preserve">material + plant + </t>
    </r>
    <r>
      <rPr>
        <i val="true"/>
        <sz val="8"/>
        <color rgb="FF595959"/>
        <rFont val="FreeSans"/>
        <family val="2"/>
      </rPr>
      <t xml:space="preserve">ช่วงวันที่เดียวกับภาพแรก</t>
    </r>
    <r>
      <rPr>
        <i val="true"/>
        <sz val="8"/>
        <color rgb="FF595959"/>
        <rFont val="Tahoma"/>
        <family val="0"/>
        <charset val="1"/>
      </rPr>
      <t xml:space="preserve">)</t>
    </r>
  </si>
  <si>
    <r>
      <rPr>
        <b val="true"/>
        <sz val="10"/>
        <rFont val="Tahoma"/>
        <family val="0"/>
        <charset val="1"/>
      </rPr>
      <t xml:space="preserve">E03  —  Excel Consumption — </t>
    </r>
    <r>
      <rPr>
        <b val="true"/>
        <sz val="10"/>
        <rFont val="FreeSans"/>
        <family val="2"/>
      </rPr>
      <t xml:space="preserve">คอลัมน์เดือน </t>
    </r>
    <r>
      <rPr>
        <b val="true"/>
        <sz val="10"/>
        <rFont val="Tahoma"/>
        <family val="0"/>
        <charset val="1"/>
      </rPr>
      <t xml:space="preserve">10 (</t>
    </r>
    <r>
      <rPr>
        <b val="true"/>
        <sz val="10"/>
        <rFont val="FreeSans"/>
        <family val="2"/>
      </rPr>
      <t xml:space="preserve">ต</t>
    </r>
    <r>
      <rPr>
        <b val="true"/>
        <sz val="10"/>
        <rFont val="Tahoma"/>
        <family val="0"/>
        <charset val="1"/>
      </rPr>
      <t xml:space="preserve">.</t>
    </r>
    <r>
      <rPr>
        <b val="true"/>
        <sz val="10"/>
        <rFont val="FreeSans"/>
        <family val="2"/>
      </rPr>
      <t xml:space="preserve">ค</t>
    </r>
    <r>
      <rPr>
        <b val="true"/>
        <sz val="10"/>
        <rFont val="Tahoma"/>
        <family val="0"/>
        <charset val="1"/>
      </rPr>
      <t xml:space="preserve">. 2026)</t>
    </r>
  </si>
  <si>
    <r>
      <rPr>
        <i val="true"/>
        <sz val="8"/>
        <color rgb="FF595959"/>
        <rFont val="Tahoma"/>
        <family val="0"/>
        <charset val="1"/>
      </rPr>
      <t xml:space="preserve">(</t>
    </r>
    <r>
      <rPr>
        <i val="true"/>
        <sz val="8"/>
        <color rgb="FF595959"/>
        <rFont val="FreeSans"/>
        <family val="2"/>
      </rPr>
      <t xml:space="preserve">ให้เห็นหัวคอลัมน์ปี</t>
    </r>
    <r>
      <rPr>
        <i val="true"/>
        <sz val="8"/>
        <color rgb="FF595959"/>
        <rFont val="Tahoma"/>
        <family val="0"/>
        <charset val="1"/>
      </rPr>
      <t xml:space="preserve">/</t>
    </r>
    <r>
      <rPr>
        <i val="true"/>
        <sz val="8"/>
        <color rgb="FF595959"/>
        <rFont val="FreeSans"/>
        <family val="2"/>
      </rPr>
      <t xml:space="preserve">เดือน และแถวของ </t>
    </r>
    <r>
      <rPr>
        <i val="true"/>
        <sz val="8"/>
        <color rgb="FF595959"/>
        <rFont val="Tahoma"/>
        <family val="0"/>
        <charset val="1"/>
      </rPr>
      <t xml:space="preserve">material </t>
    </r>
    <r>
      <rPr>
        <i val="true"/>
        <sz val="8"/>
        <color rgb="FF595959"/>
        <rFont val="FreeSans"/>
        <family val="2"/>
      </rPr>
      <t xml:space="preserve">นี้</t>
    </r>
    <r>
      <rPr>
        <i val="true"/>
        <sz val="8"/>
        <color rgb="FF595959"/>
        <rFont val="Tahoma"/>
        <family val="0"/>
        <charset val="1"/>
      </rPr>
      <t xml:space="preserve">)</t>
    </r>
  </si>
  <si>
    <t xml:space="preserve">  AMIC01-SG-BT-01</t>
  </si>
  <si>
    <r>
      <rPr>
        <b val="true"/>
        <sz val="10"/>
        <rFont val="Tahoma"/>
        <family val="0"/>
        <charset val="1"/>
      </rPr>
      <t xml:space="preserve">E04  —  </t>
    </r>
    <r>
      <rPr>
        <b val="true"/>
        <sz val="10"/>
        <rFont val="FreeSans"/>
        <family val="2"/>
      </rPr>
      <t xml:space="preserve">หน้า </t>
    </r>
    <r>
      <rPr>
        <b val="true"/>
        <sz val="10"/>
        <rFont val="Tahoma"/>
        <family val="0"/>
        <charset val="1"/>
      </rPr>
      <t xml:space="preserve">Dashboard — </t>
    </r>
    <r>
      <rPr>
        <b val="true"/>
        <sz val="10"/>
        <rFont val="FreeSans"/>
        <family val="2"/>
      </rPr>
      <t xml:space="preserve">แท็บ </t>
    </r>
    <r>
      <rPr>
        <b val="true"/>
        <sz val="10"/>
        <rFont val="Tahoma"/>
        <family val="0"/>
        <charset val="1"/>
      </rPr>
      <t xml:space="preserve">Movements (MB51)</t>
    </r>
  </si>
  <si>
    <r>
      <rPr>
        <b val="true"/>
        <sz val="10"/>
        <rFont val="Tahoma"/>
        <family val="0"/>
        <charset val="1"/>
      </rPr>
      <t xml:space="preserve">E05  —  </t>
    </r>
    <r>
      <rPr>
        <b val="true"/>
        <sz val="10"/>
        <rFont val="FreeSans"/>
        <family val="2"/>
      </rPr>
      <t xml:space="preserve">หน้า </t>
    </r>
    <r>
      <rPr>
        <b val="true"/>
        <sz val="10"/>
        <rFont val="Tahoma"/>
        <family val="0"/>
        <charset val="1"/>
      </rPr>
      <t xml:space="preserve">SAP — MB51 Material Document List</t>
    </r>
  </si>
  <si>
    <r>
      <rPr>
        <b val="true"/>
        <sz val="10"/>
        <rFont val="Tahoma"/>
        <family val="0"/>
        <charset val="1"/>
      </rPr>
      <t xml:space="preserve">E06  —  Excel Consumption — </t>
    </r>
    <r>
      <rPr>
        <b val="true"/>
        <sz val="10"/>
        <rFont val="FreeSans"/>
        <family val="2"/>
      </rPr>
      <t xml:space="preserve">คอลัมน์เดือน </t>
    </r>
    <r>
      <rPr>
        <b val="true"/>
        <sz val="10"/>
        <rFont val="Tahoma"/>
        <family val="0"/>
        <charset val="1"/>
      </rPr>
      <t xml:space="preserve">10 (</t>
    </r>
    <r>
      <rPr>
        <b val="true"/>
        <sz val="10"/>
        <rFont val="FreeSans"/>
        <family val="2"/>
      </rPr>
      <t xml:space="preserve">ต</t>
    </r>
    <r>
      <rPr>
        <b val="true"/>
        <sz val="10"/>
        <rFont val="Tahoma"/>
        <family val="0"/>
        <charset val="1"/>
      </rPr>
      <t xml:space="preserve">.</t>
    </r>
    <r>
      <rPr>
        <b val="true"/>
        <sz val="10"/>
        <rFont val="FreeSans"/>
        <family val="2"/>
      </rPr>
      <t xml:space="preserve">ค</t>
    </r>
    <r>
      <rPr>
        <b val="true"/>
        <sz val="10"/>
        <rFont val="Tahoma"/>
        <family val="0"/>
        <charset val="1"/>
      </rPr>
      <t xml:space="preserve">. 2026)</t>
    </r>
  </si>
  <si>
    <t xml:space="preserve">  CAAL02-CN-BG-01</t>
  </si>
  <si>
    <r>
      <rPr>
        <b val="true"/>
        <sz val="10"/>
        <rFont val="Tahoma"/>
        <family val="0"/>
        <charset val="1"/>
      </rPr>
      <t xml:space="preserve">E07  —  </t>
    </r>
    <r>
      <rPr>
        <b val="true"/>
        <sz val="10"/>
        <rFont val="FreeSans"/>
        <family val="2"/>
      </rPr>
      <t xml:space="preserve">หน้า </t>
    </r>
    <r>
      <rPr>
        <b val="true"/>
        <sz val="10"/>
        <rFont val="Tahoma"/>
        <family val="0"/>
        <charset val="1"/>
      </rPr>
      <t xml:space="preserve">Dashboard — </t>
    </r>
    <r>
      <rPr>
        <b val="true"/>
        <sz val="10"/>
        <rFont val="FreeSans"/>
        <family val="2"/>
      </rPr>
      <t xml:space="preserve">แท็บ </t>
    </r>
    <r>
      <rPr>
        <b val="true"/>
        <sz val="10"/>
        <rFont val="Tahoma"/>
        <family val="0"/>
        <charset val="1"/>
      </rPr>
      <t xml:space="preserve">Movements (MB51)</t>
    </r>
  </si>
  <si>
    <r>
      <rPr>
        <b val="true"/>
        <sz val="10"/>
        <rFont val="Tahoma"/>
        <family val="0"/>
        <charset val="1"/>
      </rPr>
      <t xml:space="preserve">E08  —  </t>
    </r>
    <r>
      <rPr>
        <b val="true"/>
        <sz val="10"/>
        <rFont val="FreeSans"/>
        <family val="2"/>
      </rPr>
      <t xml:space="preserve">หน้า </t>
    </r>
    <r>
      <rPr>
        <b val="true"/>
        <sz val="10"/>
        <rFont val="Tahoma"/>
        <family val="0"/>
        <charset val="1"/>
      </rPr>
      <t xml:space="preserve">SAP — MB51 Material Document List</t>
    </r>
  </si>
  <si>
    <r>
      <rPr>
        <b val="true"/>
        <sz val="10"/>
        <rFont val="Tahoma"/>
        <family val="0"/>
        <charset val="1"/>
      </rPr>
      <t xml:space="preserve">E09  —  Excel Consumption — </t>
    </r>
    <r>
      <rPr>
        <b val="true"/>
        <sz val="10"/>
        <rFont val="FreeSans"/>
        <family val="2"/>
      </rPr>
      <t xml:space="preserve">คอลัมน์เดือน </t>
    </r>
    <r>
      <rPr>
        <b val="true"/>
        <sz val="10"/>
        <rFont val="Tahoma"/>
        <family val="0"/>
        <charset val="1"/>
      </rPr>
      <t xml:space="preserve">10 (</t>
    </r>
    <r>
      <rPr>
        <b val="true"/>
        <sz val="10"/>
        <rFont val="FreeSans"/>
        <family val="2"/>
      </rPr>
      <t xml:space="preserve">ต</t>
    </r>
    <r>
      <rPr>
        <b val="true"/>
        <sz val="10"/>
        <rFont val="Tahoma"/>
        <family val="0"/>
        <charset val="1"/>
      </rPr>
      <t xml:space="preserve">.</t>
    </r>
    <r>
      <rPr>
        <b val="true"/>
        <sz val="10"/>
        <rFont val="FreeSans"/>
        <family val="2"/>
      </rPr>
      <t xml:space="preserve">ค</t>
    </r>
    <r>
      <rPr>
        <b val="true"/>
        <sz val="10"/>
        <rFont val="Tahoma"/>
        <family val="0"/>
        <charset val="1"/>
      </rPr>
      <t xml:space="preserve">. 2026)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</si>
</sst>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0%"/>
    <numFmt numFmtId="167" formatCode="#,##0.###"/>
    <numFmt numFmtId="168" formatCode="#,##0.###;[RED]\-#,##0.###;\-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Tahoma"/>
      <family val="0"/>
      <charset val="1"/>
    </font>
    <font>
      <sz val="9"/>
      <color rgb="FF595959"/>
      <name val="FreeSans"/>
      <family val="2"/>
      <charset val="1"/>
    </font>
    <font>
      <b val="true"/>
      <sz val="10"/>
      <name val="Tahoma"/>
      <family val="0"/>
      <charset val="1"/>
    </font>
    <font>
      <sz val="10"/>
      <name val="Tahoma"/>
      <family val="0"/>
      <charset val="1"/>
    </font>
    <font>
      <sz val="9"/>
      <color rgb="FF595959"/>
      <name val="Tahoma"/>
      <family val="0"/>
      <charset val="1"/>
    </font>
    <font>
      <b val="true"/>
      <sz val="12"/>
      <color rgb="FF006100"/>
      <name val="Tahoma"/>
      <family val="0"/>
      <charset val="1"/>
    </font>
    <font>
      <sz val="10"/>
      <name val="FreeSans"/>
      <family val="2"/>
      <charset val="1"/>
    </font>
    <font>
      <b val="true"/>
      <sz val="10"/>
      <color rgb="FFFFFFFF"/>
      <name val="Tahoma"/>
      <family val="0"/>
      <charset val="1"/>
    </font>
    <font>
      <sz val="10"/>
      <name val="FreeSans"/>
      <family val="2"/>
    </font>
    <font>
      <b val="true"/>
      <sz val="10"/>
      <name val="FreeSans"/>
      <family val="2"/>
      <charset val="1"/>
    </font>
    <font>
      <i val="true"/>
      <sz val="9"/>
      <color rgb="FF595959"/>
      <name val="FreeSans"/>
      <family val="2"/>
      <charset val="1"/>
    </font>
    <font>
      <b val="true"/>
      <sz val="12"/>
      <color rgb="FFFFFFFF"/>
      <name val="FreeSans"/>
      <family val="2"/>
      <charset val="1"/>
    </font>
    <font>
      <b val="true"/>
      <sz val="10"/>
      <color rgb="FFFFFFFF"/>
      <name val="FreeSans"/>
      <family val="2"/>
      <charset val="1"/>
    </font>
    <font>
      <sz val="9"/>
      <color rgb="FF9C0006"/>
      <name val="Tahoma"/>
      <family val="0"/>
      <charset val="1"/>
    </font>
    <font>
      <sz val="9"/>
      <color rgb="FF9C0006"/>
      <name val="FreeSans"/>
      <family val="2"/>
    </font>
    <font>
      <b val="true"/>
      <sz val="12"/>
      <color rgb="FF1F3864"/>
      <name val="Tahoma"/>
      <family val="0"/>
      <charset val="1"/>
    </font>
    <font>
      <b val="true"/>
      <sz val="12"/>
      <color rgb="FF1F3864"/>
      <name val="FreeSans"/>
      <family val="2"/>
    </font>
    <font>
      <b val="true"/>
      <sz val="11"/>
      <color rgb="FFFFFFFF"/>
      <name val="Tahoma"/>
      <family val="0"/>
      <charset val="1"/>
    </font>
    <font>
      <b val="true"/>
      <sz val="10"/>
      <name val="FreeSans"/>
      <family val="2"/>
    </font>
    <font>
      <i val="true"/>
      <sz val="8"/>
      <color rgb="FF595959"/>
      <name val="Tahoma"/>
      <family val="0"/>
      <charset val="1"/>
    </font>
    <font>
      <i val="true"/>
      <sz val="8"/>
      <color rgb="FF595959"/>
      <name val="FreeSans"/>
      <family val="2"/>
    </font>
    <font>
      <sz val="8"/>
      <color rgb="FFBFBFBF"/>
      <name val="FreeSans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CE6F1"/>
        <bgColor rgb="FFEDEDED"/>
      </patternFill>
    </fill>
    <fill>
      <patternFill patternType="solid">
        <fgColor rgb="FFFFF9DB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7" fillId="4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7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name val="Tahoma"/>
        <charset val="1"/>
        <family val="0"/>
        <color rgb="FF006100"/>
        <sz val="10"/>
      </font>
      <fill>
        <patternFill>
          <bgColor rgb="FFC6EFCE"/>
        </patternFill>
      </fill>
    </dxf>
    <dxf>
      <font>
        <name val="Tahoma"/>
        <charset val="1"/>
        <family val="0"/>
        <color rgb="FF9C0006"/>
        <sz val="10"/>
      </font>
      <fill>
        <patternFill>
          <bgColor rgb="FFFFC7CE"/>
        </patternFill>
      </fill>
    </dxf>
    <dxf>
      <font>
        <name val="Tahoma"/>
        <charset val="1"/>
        <family val="0"/>
        <color rgb="FF595959"/>
        <sz val="10"/>
      </font>
      <fill>
        <patternFill>
          <bgColor rgb="FFEDEDED"/>
        </patternFill>
      </fill>
    </dxf>
    <dxf>
      <font>
        <name val="Tahoma"/>
        <charset val="1"/>
        <family val="0"/>
        <b val="1"/>
        <color rgb="FF006100"/>
        <sz val="10"/>
      </font>
      <fill>
        <patternFill>
          <bgColor rgb="FFC6EFCE"/>
        </patternFill>
      </fill>
    </dxf>
    <dxf>
      <font>
        <name val="Tahoma"/>
        <charset val="1"/>
        <family val="0"/>
        <b val="1"/>
        <color rgb="FF9C0006"/>
        <sz val="10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9DB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24"/>
    <col collapsed="false" customWidth="true" hidden="false" outlineLevel="0" max="3" min="3" style="1" width="46"/>
    <col collapsed="false" customWidth="true" hidden="false" outlineLevel="0" max="4" min="4" style="1" width="56"/>
    <col collapsed="false" customWidth="true" hidden="false" outlineLevel="0" max="5" min="5" style="1" width="12"/>
    <col collapsed="false" customWidth="true" hidden="false" outlineLevel="0" max="6" min="6" style="1" width="18"/>
    <col collapsed="false" customWidth="true" hidden="false" outlineLevel="0" max="7" min="7" style="1" width="30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12" hidden="false" customHeight="true" outlineLevel="0" collapsed="false">
      <c r="A2" s="3" t="s">
        <v>1</v>
      </c>
      <c r="B2" s="3"/>
      <c r="C2" s="3"/>
      <c r="D2" s="3"/>
      <c r="E2" s="3"/>
      <c r="F2" s="3"/>
      <c r="G2" s="3"/>
    </row>
    <row r="4" customFormat="false" ht="15" hidden="false" customHeight="true" outlineLevel="0" collapsed="false">
      <c r="A4" s="4" t="s">
        <v>2</v>
      </c>
      <c r="B4" s="4"/>
      <c r="C4" s="5" t="s">
        <v>3</v>
      </c>
      <c r="D4" s="5"/>
      <c r="E4" s="6" t="s">
        <v>4</v>
      </c>
      <c r="F4" s="7" t="n">
        <f aca="false">COUNTA(C11:C30)</f>
        <v>20</v>
      </c>
      <c r="G4" s="8" t="s">
        <v>5</v>
      </c>
    </row>
    <row r="5" customFormat="false" ht="15" hidden="false" customHeight="true" outlineLevel="0" collapsed="false">
      <c r="A5" s="4" t="s">
        <v>6</v>
      </c>
      <c r="B5" s="4"/>
      <c r="C5" s="5" t="s">
        <v>7</v>
      </c>
      <c r="D5" s="5"/>
      <c r="E5" s="6" t="s">
        <v>8</v>
      </c>
      <c r="F5" s="9" t="n">
        <f aca="false">COUNTIFS(C11:C30,"&lt;&gt;",E11:E30,"Pass")</f>
        <v>5</v>
      </c>
      <c r="G5" s="10" t="n">
        <f aca="false">IF(F4=0,0,F5/F4)</f>
        <v>0.25</v>
      </c>
    </row>
    <row r="6" customFormat="false" ht="15" hidden="false" customHeight="true" outlineLevel="0" collapsed="false">
      <c r="A6" s="4" t="s">
        <v>9</v>
      </c>
      <c r="B6" s="4"/>
      <c r="C6" s="11" t="s">
        <v>10</v>
      </c>
      <c r="D6" s="11"/>
      <c r="E6" s="6" t="s">
        <v>11</v>
      </c>
      <c r="F6" s="9" t="n">
        <f aca="false">COUNTIFS(C11:C30,"&lt;&gt;",E11:E30,"Fail")</f>
        <v>0</v>
      </c>
      <c r="G6" s="12" t="s">
        <v>12</v>
      </c>
    </row>
    <row r="7" customFormat="false" ht="15" hidden="false" customHeight="true" outlineLevel="0" collapsed="false">
      <c r="A7" s="4" t="s">
        <v>13</v>
      </c>
      <c r="B7" s="4"/>
      <c r="C7" s="11" t="s">
        <v>14</v>
      </c>
      <c r="D7" s="11"/>
      <c r="E7" s="6" t="s">
        <v>15</v>
      </c>
      <c r="F7" s="9" t="n">
        <f aca="false">COUNTIFS(C11:C30,"&lt;&gt;",E11:E30,"Pending")</f>
        <v>15</v>
      </c>
      <c r="G7" s="12"/>
    </row>
    <row r="8" customFormat="false" ht="15" hidden="false" customHeight="true" outlineLevel="0" collapsed="false">
      <c r="A8" s="4" t="s">
        <v>16</v>
      </c>
      <c r="B8" s="4"/>
      <c r="C8" s="13" t="s">
        <v>17</v>
      </c>
      <c r="D8" s="13"/>
      <c r="E8" s="6" t="s">
        <v>18</v>
      </c>
      <c r="F8" s="9" t="n">
        <f aca="false">COUNTIFS(C11:C30,"&lt;&gt;",E11:E30,"N/A")</f>
        <v>0</v>
      </c>
      <c r="G8" s="12"/>
    </row>
    <row r="10" customFormat="false" ht="21.75" hidden="false" customHeight="true" outlineLevel="0" collapsed="false">
      <c r="A10" s="14" t="s">
        <v>19</v>
      </c>
      <c r="B10" s="14" t="s">
        <v>20</v>
      </c>
      <c r="C10" s="14" t="s">
        <v>21</v>
      </c>
      <c r="D10" s="14" t="s">
        <v>22</v>
      </c>
      <c r="E10" s="14" t="s">
        <v>23</v>
      </c>
      <c r="F10" s="14" t="s">
        <v>24</v>
      </c>
      <c r="G10" s="14" t="s">
        <v>25</v>
      </c>
    </row>
    <row r="11" customFormat="false" ht="42" hidden="false" customHeight="true" outlineLevel="0" collapsed="false">
      <c r="A11" s="15" t="s">
        <v>26</v>
      </c>
      <c r="B11" s="16" t="s">
        <v>27</v>
      </c>
      <c r="C11" s="17" t="s">
        <v>28</v>
      </c>
      <c r="D11" s="17" t="s">
        <v>29</v>
      </c>
      <c r="E11" s="18" t="s">
        <v>8</v>
      </c>
      <c r="F11" s="19" t="str">
        <f aca="true">IF(E11="Pass",TEXT(TODAY(),"yyyy-mm-dd"),"")</f>
        <v>2026-10-21</v>
      </c>
      <c r="G11" s="17" t="s">
        <v>30</v>
      </c>
    </row>
    <row r="12" customFormat="false" ht="42" hidden="false" customHeight="true" outlineLevel="0" collapsed="false">
      <c r="A12" s="15" t="s">
        <v>31</v>
      </c>
      <c r="B12" s="16" t="s">
        <v>27</v>
      </c>
      <c r="C12" s="17" t="s">
        <v>32</v>
      </c>
      <c r="D12" s="17" t="s">
        <v>33</v>
      </c>
      <c r="E12" s="18" t="s">
        <v>15</v>
      </c>
      <c r="F12" s="19" t="str">
        <f aca="true">IF(E12="Pass",TEXT(TODAY(),"yyyy-mm-dd"),"")</f>
        <v/>
      </c>
      <c r="G12" s="17" t="s">
        <v>34</v>
      </c>
    </row>
    <row r="13" customFormat="false" ht="42" hidden="false" customHeight="true" outlineLevel="0" collapsed="false">
      <c r="A13" s="15" t="s">
        <v>35</v>
      </c>
      <c r="B13" s="16" t="s">
        <v>27</v>
      </c>
      <c r="C13" s="17" t="s">
        <v>36</v>
      </c>
      <c r="D13" s="17" t="s">
        <v>33</v>
      </c>
      <c r="E13" s="18" t="s">
        <v>15</v>
      </c>
      <c r="F13" s="19" t="str">
        <f aca="true">IF(E13="Pass",TEXT(TODAY(),"yyyy-mm-dd"),"")</f>
        <v/>
      </c>
      <c r="G13" s="17" t="s">
        <v>37</v>
      </c>
    </row>
    <row r="14" customFormat="false" ht="42" hidden="false" customHeight="true" outlineLevel="0" collapsed="false">
      <c r="A14" s="15" t="s">
        <v>38</v>
      </c>
      <c r="B14" s="16" t="s">
        <v>39</v>
      </c>
      <c r="C14" s="17" t="s">
        <v>40</v>
      </c>
      <c r="D14" s="17" t="s">
        <v>41</v>
      </c>
      <c r="E14" s="18" t="s">
        <v>8</v>
      </c>
      <c r="F14" s="19" t="str">
        <f aca="true">IF(E14="Pass",TEXT(TODAY(),"yyyy-mm-dd"),"")</f>
        <v>2026-10-21</v>
      </c>
      <c r="G14" s="17" t="s">
        <v>42</v>
      </c>
    </row>
    <row r="15" customFormat="false" ht="42" hidden="false" customHeight="true" outlineLevel="0" collapsed="false">
      <c r="A15" s="15" t="s">
        <v>43</v>
      </c>
      <c r="B15" s="16" t="s">
        <v>39</v>
      </c>
      <c r="C15" s="17" t="s">
        <v>44</v>
      </c>
      <c r="D15" s="17" t="s">
        <v>41</v>
      </c>
      <c r="E15" s="18" t="s">
        <v>15</v>
      </c>
      <c r="F15" s="19" t="str">
        <f aca="true">IF(E15="Pass",TEXT(TODAY(),"yyyy-mm-dd"),"")</f>
        <v/>
      </c>
      <c r="G15" s="17" t="s">
        <v>45</v>
      </c>
    </row>
    <row r="16" customFormat="false" ht="42" hidden="false" customHeight="true" outlineLevel="0" collapsed="false">
      <c r="A16" s="15" t="s">
        <v>46</v>
      </c>
      <c r="B16" s="16" t="s">
        <v>39</v>
      </c>
      <c r="C16" s="17" t="s">
        <v>47</v>
      </c>
      <c r="D16" s="17" t="s">
        <v>41</v>
      </c>
      <c r="E16" s="18" t="s">
        <v>15</v>
      </c>
      <c r="F16" s="19" t="str">
        <f aca="true">IF(E16="Pass",TEXT(TODAY(),"yyyy-mm-dd"),"")</f>
        <v/>
      </c>
      <c r="G16" s="17" t="s">
        <v>45</v>
      </c>
    </row>
    <row r="17" customFormat="false" ht="42" hidden="false" customHeight="true" outlineLevel="0" collapsed="false">
      <c r="A17" s="15" t="s">
        <v>48</v>
      </c>
      <c r="B17" s="16" t="s">
        <v>49</v>
      </c>
      <c r="C17" s="17" t="s">
        <v>50</v>
      </c>
      <c r="D17" s="17" t="s">
        <v>51</v>
      </c>
      <c r="E17" s="18" t="s">
        <v>8</v>
      </c>
      <c r="F17" s="19" t="str">
        <f aca="true">IF(E17="Pass",TEXT(TODAY(),"yyyy-mm-dd"),"")</f>
        <v>2026-10-21</v>
      </c>
      <c r="G17" s="17" t="s">
        <v>52</v>
      </c>
    </row>
    <row r="18" customFormat="false" ht="42" hidden="false" customHeight="true" outlineLevel="0" collapsed="false">
      <c r="A18" s="15" t="s">
        <v>53</v>
      </c>
      <c r="B18" s="16" t="s">
        <v>54</v>
      </c>
      <c r="C18" s="17" t="s">
        <v>55</v>
      </c>
      <c r="D18" s="17" t="s">
        <v>56</v>
      </c>
      <c r="E18" s="18" t="s">
        <v>8</v>
      </c>
      <c r="F18" s="19" t="str">
        <f aca="true">IF(E18="Pass",TEXT(TODAY(),"yyyy-mm-dd"),"")</f>
        <v>2026-10-21</v>
      </c>
      <c r="G18" s="17" t="s">
        <v>57</v>
      </c>
    </row>
    <row r="19" customFormat="false" ht="42" hidden="false" customHeight="true" outlineLevel="0" collapsed="false">
      <c r="A19" s="15" t="s">
        <v>58</v>
      </c>
      <c r="B19" s="16" t="s">
        <v>59</v>
      </c>
      <c r="C19" s="16" t="s">
        <v>60</v>
      </c>
      <c r="D19" s="17" t="s">
        <v>61</v>
      </c>
      <c r="E19" s="18" t="s">
        <v>15</v>
      </c>
      <c r="F19" s="19" t="str">
        <f aca="true">IF(E19="Pass",TEXT(TODAY(),"yyyy-mm-dd"),"")</f>
        <v/>
      </c>
      <c r="G19" s="20"/>
    </row>
    <row r="20" customFormat="false" ht="42" hidden="false" customHeight="true" outlineLevel="0" collapsed="false">
      <c r="A20" s="15" t="s">
        <v>62</v>
      </c>
      <c r="B20" s="16" t="s">
        <v>63</v>
      </c>
      <c r="C20" s="17" t="s">
        <v>64</v>
      </c>
      <c r="D20" s="17" t="s">
        <v>65</v>
      </c>
      <c r="E20" s="18" t="s">
        <v>15</v>
      </c>
      <c r="F20" s="19" t="str">
        <f aca="true">IF(E20="Pass",TEXT(TODAY(),"yyyy-mm-dd"),"")</f>
        <v/>
      </c>
      <c r="G20" s="20"/>
    </row>
    <row r="21" customFormat="false" ht="42" hidden="false" customHeight="true" outlineLevel="0" collapsed="false">
      <c r="A21" s="15" t="s">
        <v>66</v>
      </c>
      <c r="B21" s="16" t="s">
        <v>67</v>
      </c>
      <c r="C21" s="17" t="s">
        <v>68</v>
      </c>
      <c r="D21" s="16" t="s">
        <v>69</v>
      </c>
      <c r="E21" s="18" t="s">
        <v>8</v>
      </c>
      <c r="F21" s="19" t="str">
        <f aca="true">IF(E21="Pass",TEXT(TODAY(),"yyyy-mm-dd"),"")</f>
        <v>2026-10-21</v>
      </c>
      <c r="G21" s="17" t="s">
        <v>70</v>
      </c>
    </row>
    <row r="22" customFormat="false" ht="42" hidden="false" customHeight="true" outlineLevel="0" collapsed="false">
      <c r="A22" s="15" t="s">
        <v>71</v>
      </c>
      <c r="B22" s="16" t="s">
        <v>72</v>
      </c>
      <c r="C22" s="17" t="s">
        <v>73</v>
      </c>
      <c r="D22" s="17" t="s">
        <v>74</v>
      </c>
      <c r="E22" s="18" t="s">
        <v>15</v>
      </c>
      <c r="F22" s="19" t="str">
        <f aca="true">IF(E22="Pass",TEXT(TODAY(),"yyyy-mm-dd"),"")</f>
        <v/>
      </c>
      <c r="G22" s="17" t="s">
        <v>75</v>
      </c>
    </row>
    <row r="23" customFormat="false" ht="42" hidden="false" customHeight="true" outlineLevel="0" collapsed="false">
      <c r="A23" s="15" t="s">
        <v>76</v>
      </c>
      <c r="B23" s="16" t="s">
        <v>77</v>
      </c>
      <c r="C23" s="17" t="s">
        <v>78</v>
      </c>
      <c r="D23" s="17" t="s">
        <v>79</v>
      </c>
      <c r="E23" s="18" t="s">
        <v>15</v>
      </c>
      <c r="F23" s="19" t="str">
        <f aca="true">IF(E23="Pass",TEXT(TODAY(),"yyyy-mm-dd"),"")</f>
        <v/>
      </c>
      <c r="G23" s="20"/>
    </row>
    <row r="24" customFormat="false" ht="42" hidden="false" customHeight="true" outlineLevel="0" collapsed="false">
      <c r="A24" s="15" t="s">
        <v>80</v>
      </c>
      <c r="B24" s="16" t="s">
        <v>81</v>
      </c>
      <c r="C24" s="17" t="s">
        <v>82</v>
      </c>
      <c r="D24" s="17" t="s">
        <v>83</v>
      </c>
      <c r="E24" s="18" t="s">
        <v>15</v>
      </c>
      <c r="F24" s="19" t="str">
        <f aca="true">IF(E24="Pass",TEXT(TODAY(),"yyyy-mm-dd"),"")</f>
        <v/>
      </c>
      <c r="G24" s="20"/>
    </row>
    <row r="25" customFormat="false" ht="42" hidden="false" customHeight="true" outlineLevel="0" collapsed="false">
      <c r="A25" s="15" t="s">
        <v>84</v>
      </c>
      <c r="B25" s="16" t="s">
        <v>85</v>
      </c>
      <c r="C25" s="16" t="s">
        <v>86</v>
      </c>
      <c r="D25" s="17" t="s">
        <v>87</v>
      </c>
      <c r="E25" s="18" t="s">
        <v>15</v>
      </c>
      <c r="F25" s="19" t="str">
        <f aca="true">IF(E25="Pass",TEXT(TODAY(),"yyyy-mm-dd"),"")</f>
        <v/>
      </c>
      <c r="G25" s="20"/>
    </row>
    <row r="26" customFormat="false" ht="42" hidden="false" customHeight="true" outlineLevel="0" collapsed="false">
      <c r="A26" s="15" t="s">
        <v>88</v>
      </c>
      <c r="B26" s="16" t="s">
        <v>89</v>
      </c>
      <c r="C26" s="17" t="s">
        <v>90</v>
      </c>
      <c r="D26" s="17" t="s">
        <v>91</v>
      </c>
      <c r="E26" s="18" t="s">
        <v>15</v>
      </c>
      <c r="F26" s="19" t="str">
        <f aca="true">IF(E26="Pass",TEXT(TODAY(),"yyyy-mm-dd"),"")</f>
        <v/>
      </c>
      <c r="G26" s="20"/>
    </row>
    <row r="27" customFormat="false" ht="42" hidden="false" customHeight="true" outlineLevel="0" collapsed="false">
      <c r="A27" s="15" t="s">
        <v>92</v>
      </c>
      <c r="B27" s="16" t="s">
        <v>93</v>
      </c>
      <c r="C27" s="17" t="s">
        <v>94</v>
      </c>
      <c r="D27" s="17" t="s">
        <v>95</v>
      </c>
      <c r="E27" s="18" t="s">
        <v>15</v>
      </c>
      <c r="F27" s="19" t="str">
        <f aca="true">IF(E27="Pass",TEXT(TODAY(),"yyyy-mm-dd"),"")</f>
        <v/>
      </c>
      <c r="G27" s="20"/>
    </row>
    <row r="28" customFormat="false" ht="42" hidden="false" customHeight="true" outlineLevel="0" collapsed="false">
      <c r="A28" s="15" t="s">
        <v>96</v>
      </c>
      <c r="B28" s="16" t="s">
        <v>97</v>
      </c>
      <c r="C28" s="17" t="s">
        <v>98</v>
      </c>
      <c r="D28" s="17" t="s">
        <v>99</v>
      </c>
      <c r="E28" s="18" t="s">
        <v>15</v>
      </c>
      <c r="F28" s="19" t="str">
        <f aca="true">IF(E28="Pass",TEXT(TODAY(),"yyyy-mm-dd"),"")</f>
        <v/>
      </c>
      <c r="G28" s="20"/>
    </row>
    <row r="29" customFormat="false" ht="42" hidden="false" customHeight="true" outlineLevel="0" collapsed="false">
      <c r="A29" s="15" t="s">
        <v>100</v>
      </c>
      <c r="B29" s="16" t="s">
        <v>101</v>
      </c>
      <c r="C29" s="17" t="s">
        <v>102</v>
      </c>
      <c r="D29" s="17" t="s">
        <v>103</v>
      </c>
      <c r="E29" s="18" t="s">
        <v>15</v>
      </c>
      <c r="F29" s="19" t="str">
        <f aca="true">IF(E29="Pass",TEXT(TODAY(),"yyyy-mm-dd"),"")</f>
        <v/>
      </c>
      <c r="G29" s="20"/>
    </row>
    <row r="30" customFormat="false" ht="42" hidden="false" customHeight="true" outlineLevel="0" collapsed="false">
      <c r="A30" s="15" t="s">
        <v>104</v>
      </c>
      <c r="B30" s="16" t="s">
        <v>105</v>
      </c>
      <c r="C30" s="17" t="s">
        <v>106</v>
      </c>
      <c r="D30" s="17" t="s">
        <v>107</v>
      </c>
      <c r="E30" s="18" t="s">
        <v>15</v>
      </c>
      <c r="F30" s="19" t="str">
        <f aca="true">IF(E30="Pass",TEXT(TODAY(),"yyyy-mm-dd"),"")</f>
        <v/>
      </c>
      <c r="G30" s="17" t="s">
        <v>108</v>
      </c>
    </row>
    <row r="32" customFormat="false" ht="12.75" hidden="false" customHeight="true" outlineLevel="0" collapsed="false">
      <c r="A32" s="21" t="s">
        <v>109</v>
      </c>
      <c r="B32" s="21"/>
      <c r="C32" s="21"/>
      <c r="D32" s="21"/>
      <c r="E32" s="21"/>
      <c r="F32" s="21"/>
      <c r="G32" s="21"/>
    </row>
    <row r="33" customFormat="false" ht="12" hidden="false" customHeight="true" outlineLevel="0" collapsed="false">
      <c r="A33" s="3" t="s">
        <v>110</v>
      </c>
      <c r="B33" s="3"/>
      <c r="C33" s="3"/>
      <c r="D33" s="3"/>
      <c r="E33" s="3"/>
      <c r="F33" s="3"/>
      <c r="G33" s="3"/>
    </row>
    <row r="34" customFormat="false" ht="12" hidden="false" customHeight="true" outlineLevel="0" collapsed="false">
      <c r="A34" s="3" t="s">
        <v>111</v>
      </c>
      <c r="B34" s="3"/>
      <c r="C34" s="3"/>
      <c r="D34" s="3"/>
      <c r="E34" s="3"/>
      <c r="F34" s="3"/>
      <c r="G34" s="3"/>
    </row>
    <row r="35" customFormat="false" ht="12" hidden="false" customHeight="true" outlineLevel="0" collapsed="false">
      <c r="A35" s="3" t="s">
        <v>112</v>
      </c>
      <c r="B35" s="3"/>
      <c r="C35" s="3"/>
      <c r="D35" s="3"/>
      <c r="E35" s="3"/>
      <c r="F35" s="3"/>
      <c r="G35" s="3"/>
    </row>
    <row r="36" customFormat="false" ht="12" hidden="false" customHeight="true" outlineLevel="0" collapsed="false">
      <c r="A36" s="3" t="s">
        <v>113</v>
      </c>
      <c r="B36" s="3"/>
      <c r="C36" s="3"/>
      <c r="D36" s="3"/>
      <c r="E36" s="3"/>
      <c r="F36" s="3"/>
      <c r="G36" s="3"/>
    </row>
    <row r="37" customFormat="false" ht="12" hidden="false" customHeight="true" outlineLevel="0" collapsed="false">
      <c r="A37" s="3" t="s">
        <v>114</v>
      </c>
      <c r="B37" s="3"/>
      <c r="C37" s="3"/>
      <c r="D37" s="3"/>
      <c r="E37" s="3"/>
      <c r="F37" s="3"/>
      <c r="G37" s="3"/>
    </row>
    <row r="38" customFormat="false" ht="12" hidden="false" customHeight="true" outlineLevel="0" collapsed="false">
      <c r="A38" s="22" t="s">
        <v>115</v>
      </c>
      <c r="B38" s="22"/>
      <c r="C38" s="22"/>
      <c r="D38" s="22"/>
      <c r="E38" s="22"/>
      <c r="F38" s="22"/>
      <c r="G38" s="22"/>
    </row>
  </sheetData>
  <mergeCells count="20">
    <mergeCell ref="A1:G1"/>
    <mergeCell ref="A2:G2"/>
    <mergeCell ref="A4:B4"/>
    <mergeCell ref="C4:D4"/>
    <mergeCell ref="A5:B5"/>
    <mergeCell ref="C5:D5"/>
    <mergeCell ref="A6:B6"/>
    <mergeCell ref="C6:D6"/>
    <mergeCell ref="G6:G8"/>
    <mergeCell ref="A7:B7"/>
    <mergeCell ref="C7:D7"/>
    <mergeCell ref="A8:B8"/>
    <mergeCell ref="C8:D8"/>
    <mergeCell ref="A32:G32"/>
    <mergeCell ref="A33:G33"/>
    <mergeCell ref="A34:G34"/>
    <mergeCell ref="A35:G35"/>
    <mergeCell ref="A36:G36"/>
    <mergeCell ref="A37:G37"/>
    <mergeCell ref="A38:G38"/>
  </mergeCells>
  <conditionalFormatting sqref="E11:E30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  <cfRule type="cellIs" priority="4" operator="equal" aboveAverage="0" equalAverage="0" bottom="0" percent="0" rank="0" text="" dxfId="2">
      <formula>"N/A"</formula>
    </cfRule>
  </conditionalFormatting>
  <dataValidations count="1">
    <dataValidation allowBlank="true" errorStyle="stop" operator="between" showDropDown="false" showErrorMessage="false" showInputMessage="false" sqref="E11:E30" type="list">
      <formula1>"Pending,Pass,Fail,N/A"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2"/>
    <col collapsed="false" customWidth="true" hidden="false" outlineLevel="0" max="3" min="3" style="1" width="20"/>
    <col collapsed="false" customWidth="true" hidden="false" outlineLevel="0" max="4" min="4" style="1" width="18"/>
    <col collapsed="false" customWidth="true" hidden="false" outlineLevel="0" max="5" min="5" style="1" width="22"/>
    <col collapsed="false" customWidth="true" hidden="false" outlineLevel="0" max="7" min="6" style="1" width="16"/>
    <col collapsed="false" customWidth="true" hidden="false" outlineLevel="0" max="8" min="8" style="1" width="14"/>
  </cols>
  <sheetData>
    <row r="1" customFormat="false" ht="24" hidden="false" customHeight="true" outlineLevel="0" collapsed="false">
      <c r="A1" s="23" t="s">
        <v>116</v>
      </c>
      <c r="B1" s="23"/>
      <c r="C1" s="23"/>
      <c r="D1" s="23"/>
      <c r="E1" s="23"/>
      <c r="F1" s="23"/>
      <c r="G1" s="23"/>
      <c r="H1" s="23"/>
    </row>
    <row r="2" customFormat="false" ht="12" hidden="false" customHeight="true" outlineLevel="0" collapsed="false">
      <c r="A2" s="3" t="s">
        <v>117</v>
      </c>
      <c r="B2" s="3"/>
      <c r="C2" s="3"/>
      <c r="D2" s="3"/>
      <c r="E2" s="3"/>
      <c r="F2" s="3"/>
      <c r="G2" s="3"/>
      <c r="H2" s="3"/>
    </row>
    <row r="4" customFormat="false" ht="30" hidden="false" customHeight="true" outlineLevel="0" collapsed="false">
      <c r="A4" s="14" t="s">
        <v>118</v>
      </c>
      <c r="B4" s="24" t="s">
        <v>119</v>
      </c>
      <c r="C4" s="14" t="s">
        <v>120</v>
      </c>
      <c r="D4" s="14" t="s">
        <v>121</v>
      </c>
      <c r="E4" s="14" t="s">
        <v>122</v>
      </c>
      <c r="F4" s="14" t="s">
        <v>123</v>
      </c>
      <c r="G4" s="14" t="s">
        <v>124</v>
      </c>
      <c r="H4" s="14" t="s">
        <v>125</v>
      </c>
    </row>
    <row r="5" customFormat="false" ht="15" hidden="false" customHeight="true" outlineLevel="0" collapsed="false">
      <c r="A5" s="15" t="s">
        <v>126</v>
      </c>
      <c r="B5" s="25" t="s">
        <v>127</v>
      </c>
      <c r="C5" s="26" t="n">
        <v>1</v>
      </c>
      <c r="D5" s="26" t="n">
        <v>1</v>
      </c>
      <c r="E5" s="26"/>
      <c r="F5" s="27" t="n">
        <f aca="false">IF(COUNT(C5,D5)&lt;2,"",C5-D5)</f>
        <v>0</v>
      </c>
      <c r="G5" s="27" t="str">
        <f aca="false">IF(COUNT(E5,D5)&lt;2,"",E5-D5)</f>
        <v/>
      </c>
      <c r="H5" s="25" t="str">
        <f aca="false">IF(COUNT(C5,D5,E5)&lt;3,"Pending",IF(AND(ABS(C5-D5)&lt;0.001,ABS(E5-D5)&lt;0.001),"Match","Check"))</f>
        <v>Pending</v>
      </c>
    </row>
    <row r="6" customFormat="false" ht="15" hidden="false" customHeight="true" outlineLevel="0" collapsed="false">
      <c r="A6" s="15"/>
      <c r="B6" s="25" t="s">
        <v>128</v>
      </c>
      <c r="C6" s="26" t="n">
        <v>0</v>
      </c>
      <c r="D6" s="26" t="n">
        <v>0</v>
      </c>
      <c r="E6" s="26"/>
      <c r="F6" s="27" t="n">
        <f aca="false">IF(COUNT(C6,D6)&lt;2,"",C6-D6)</f>
        <v>0</v>
      </c>
      <c r="G6" s="27" t="str">
        <f aca="false">IF(COUNT(E6,D6)&lt;2,"",E6-D6)</f>
        <v/>
      </c>
      <c r="H6" s="25" t="str">
        <f aca="false">IF(COUNT(C6,D6,E6)&lt;3,"Pending",IF(AND(ABS(C6-D6)&lt;0.001,ABS(E6-D6)&lt;0.001),"Match","Check"))</f>
        <v>Pending</v>
      </c>
    </row>
    <row r="7" customFormat="false" ht="15" hidden="false" customHeight="true" outlineLevel="0" collapsed="false">
      <c r="A7" s="15"/>
      <c r="B7" s="25" t="s">
        <v>129</v>
      </c>
      <c r="C7" s="26" t="n">
        <v>2</v>
      </c>
      <c r="D7" s="26" t="n">
        <v>2</v>
      </c>
      <c r="E7" s="26" t="n">
        <v>2</v>
      </c>
      <c r="F7" s="27" t="n">
        <f aca="false">IF(COUNT(C7,D7)&lt;2,"",C7-D7)</f>
        <v>0</v>
      </c>
      <c r="G7" s="27" t="n">
        <f aca="false">IF(COUNT(E7,D7)&lt;2,"",E7-D7)</f>
        <v>0</v>
      </c>
      <c r="H7" s="25" t="str">
        <f aca="false">IF(COUNT(C7,D7,E7)&lt;3,"Pending",IF(AND(ABS(C7-D7)&lt;0.001,ABS(E7-D7)&lt;0.001),"Match","Check"))</f>
        <v>Match</v>
      </c>
    </row>
    <row r="9" customFormat="false" ht="15" hidden="false" customHeight="true" outlineLevel="0" collapsed="false">
      <c r="A9" s="15" t="s">
        <v>130</v>
      </c>
      <c r="B9" s="25" t="s">
        <v>127</v>
      </c>
      <c r="C9" s="26"/>
      <c r="D9" s="26"/>
      <c r="E9" s="26"/>
      <c r="F9" s="27" t="str">
        <f aca="false">IF(COUNT(C9,D9)&lt;2,"",C9-D9)</f>
        <v/>
      </c>
      <c r="G9" s="27" t="str">
        <f aca="false">IF(COUNT(E9,D9)&lt;2,"",E9-D9)</f>
        <v/>
      </c>
      <c r="H9" s="25" t="str">
        <f aca="false">IF(COUNT(C9,D9,E9)&lt;3,"Pending",IF(AND(ABS(C9-D9)&lt;0.001,ABS(E9-D9)&lt;0.001),"Match","Check"))</f>
        <v>Pending</v>
      </c>
    </row>
    <row r="10" customFormat="false" ht="15" hidden="false" customHeight="true" outlineLevel="0" collapsed="false">
      <c r="A10" s="15"/>
      <c r="B10" s="25" t="s">
        <v>128</v>
      </c>
      <c r="C10" s="26"/>
      <c r="D10" s="26"/>
      <c r="E10" s="26"/>
      <c r="F10" s="27" t="str">
        <f aca="false">IF(COUNT(C10,D10)&lt;2,"",C10-D10)</f>
        <v/>
      </c>
      <c r="G10" s="27" t="str">
        <f aca="false">IF(COUNT(E10,D10)&lt;2,"",E10-D10)</f>
        <v/>
      </c>
      <c r="H10" s="25" t="str">
        <f aca="false">IF(COUNT(C10,D10,E10)&lt;3,"Pending",IF(AND(ABS(C10-D10)&lt;0.001,ABS(E10-D10)&lt;0.001),"Match","Check"))</f>
        <v>Pending</v>
      </c>
    </row>
    <row r="11" customFormat="false" ht="15" hidden="false" customHeight="true" outlineLevel="0" collapsed="false">
      <c r="A11" s="15"/>
      <c r="B11" s="25" t="s">
        <v>129</v>
      </c>
      <c r="C11" s="26"/>
      <c r="D11" s="26"/>
      <c r="E11" s="26"/>
      <c r="F11" s="27" t="str">
        <f aca="false">IF(COUNT(C11,D11)&lt;2,"",C11-D11)</f>
        <v/>
      </c>
      <c r="G11" s="27" t="str">
        <f aca="false">IF(COUNT(E11,D11)&lt;2,"",E11-D11)</f>
        <v/>
      </c>
      <c r="H11" s="25" t="str">
        <f aca="false">IF(COUNT(C11,D11,E11)&lt;3,"Pending",IF(AND(ABS(C11-D11)&lt;0.001,ABS(E11-D11)&lt;0.001),"Match","Check"))</f>
        <v>Pending</v>
      </c>
    </row>
    <row r="13" customFormat="false" ht="15" hidden="false" customHeight="true" outlineLevel="0" collapsed="false">
      <c r="A13" s="15" t="s">
        <v>131</v>
      </c>
      <c r="B13" s="25" t="s">
        <v>127</v>
      </c>
      <c r="C13" s="26"/>
      <c r="D13" s="26"/>
      <c r="E13" s="26"/>
      <c r="F13" s="27" t="str">
        <f aca="false">IF(COUNT(C13,D13)&lt;2,"",C13-D13)</f>
        <v/>
      </c>
      <c r="G13" s="27" t="str">
        <f aca="false">IF(COUNT(E13,D13)&lt;2,"",E13-D13)</f>
        <v/>
      </c>
      <c r="H13" s="25" t="str">
        <f aca="false">IF(COUNT(C13,D13,E13)&lt;3,"Pending",IF(AND(ABS(C13-D13)&lt;0.001,ABS(E13-D13)&lt;0.001),"Match","Check"))</f>
        <v>Pending</v>
      </c>
    </row>
    <row r="14" customFormat="false" ht="15" hidden="false" customHeight="true" outlineLevel="0" collapsed="false">
      <c r="A14" s="15"/>
      <c r="B14" s="25" t="s">
        <v>128</v>
      </c>
      <c r="C14" s="26"/>
      <c r="D14" s="26"/>
      <c r="E14" s="26"/>
      <c r="F14" s="27" t="str">
        <f aca="false">IF(COUNT(C14,D14)&lt;2,"",C14-D14)</f>
        <v/>
      </c>
      <c r="G14" s="27" t="str">
        <f aca="false">IF(COUNT(E14,D14)&lt;2,"",E14-D14)</f>
        <v/>
      </c>
      <c r="H14" s="25" t="str">
        <f aca="false">IF(COUNT(C14,D14,E14)&lt;3,"Pending",IF(AND(ABS(C14-D14)&lt;0.001,ABS(E14-D14)&lt;0.001),"Match","Check"))</f>
        <v>Pending</v>
      </c>
    </row>
    <row r="15" customFormat="false" ht="15" hidden="false" customHeight="true" outlineLevel="0" collapsed="false">
      <c r="A15" s="15"/>
      <c r="B15" s="25" t="s">
        <v>129</v>
      </c>
      <c r="C15" s="26"/>
      <c r="D15" s="26"/>
      <c r="E15" s="26"/>
      <c r="F15" s="27" t="str">
        <f aca="false">IF(COUNT(C15,D15)&lt;2,"",C15-D15)</f>
        <v/>
      </c>
      <c r="G15" s="27" t="str">
        <f aca="false">IF(COUNT(E15,D15)&lt;2,"",E15-D15)</f>
        <v/>
      </c>
      <c r="H15" s="25" t="str">
        <f aca="false">IF(COUNT(C15,D15,E15)&lt;3,"Pending",IF(AND(ABS(C15-D15)&lt;0.001,ABS(E15-D15)&lt;0.001),"Match","Check"))</f>
        <v>Pending</v>
      </c>
    </row>
    <row r="18" customFormat="false" ht="12" hidden="false" customHeight="true" outlineLevel="0" collapsed="false">
      <c r="A18" s="3" t="s">
        <v>132</v>
      </c>
      <c r="B18" s="3"/>
      <c r="C18" s="3"/>
      <c r="D18" s="3"/>
      <c r="E18" s="3"/>
      <c r="F18" s="3"/>
      <c r="G18" s="3"/>
      <c r="H18" s="3"/>
    </row>
    <row r="20" customFormat="false" ht="12.65" hidden="false" customHeight="false" outlineLevel="0" collapsed="false">
      <c r="A20" s="28" t="s">
        <v>133</v>
      </c>
      <c r="B20" s="28"/>
      <c r="C20" s="28"/>
      <c r="D20" s="28"/>
      <c r="E20" s="28"/>
      <c r="F20" s="28"/>
      <c r="G20" s="28"/>
      <c r="H20" s="28"/>
    </row>
  </sheetData>
  <mergeCells count="7">
    <mergeCell ref="A1:H1"/>
    <mergeCell ref="A2:H2"/>
    <mergeCell ref="A5:A7"/>
    <mergeCell ref="A9:A11"/>
    <mergeCell ref="A13:A15"/>
    <mergeCell ref="A18:H18"/>
    <mergeCell ref="A20:H20"/>
  </mergeCells>
  <conditionalFormatting sqref="H5:H15">
    <cfRule type="cellIs" priority="2" operator="equal" aboveAverage="0" equalAverage="0" bottom="0" percent="0" rank="0" text="" dxfId="3">
      <formula>"Match"</formula>
    </cfRule>
    <cfRule type="cellIs" priority="3" operator="equal" aboveAverage="0" equalAverage="0" bottom="0" percent="0" rank="0" text="" dxfId="4">
      <formula>"Check"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9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12" min="2" style="1" width="14"/>
  </cols>
  <sheetData>
    <row r="1" customFormat="false" ht="15.75" hidden="false" customHeight="true" outlineLevel="0" collapsed="false">
      <c r="A1" s="29" t="s">
        <v>134</v>
      </c>
    </row>
    <row r="2" customFormat="false" ht="15" hidden="false" customHeight="true" outlineLevel="0" collapsed="false">
      <c r="A2" s="30" t="s">
        <v>135</v>
      </c>
    </row>
    <row r="4" customFormat="false" ht="21.75" hidden="false" customHeight="true" outlineLevel="0" collapsed="false">
      <c r="A4" s="31" t="s">
        <v>136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</row>
    <row r="6" customFormat="false" ht="12.75" hidden="false" customHeight="true" outlineLevel="0" collapsed="false">
      <c r="A6" s="32" t="s">
        <v>137</v>
      </c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</row>
    <row r="7" customFormat="false" ht="15" hidden="false" customHeight="true" outlineLevel="0" collapsed="false">
      <c r="A7" s="33" t="s">
        <v>138</v>
      </c>
    </row>
    <row r="8" customFormat="false" ht="15" hidden="false" customHeight="true" outlineLevel="0" collapsed="false">
      <c r="A8" s="34" t="s">
        <v>139</v>
      </c>
    </row>
    <row r="28" customFormat="false" ht="12.75" hidden="false" customHeight="true" outlineLevel="0" collapsed="false">
      <c r="A28" s="32" t="s">
        <v>140</v>
      </c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</row>
    <row r="29" customFormat="false" ht="15" hidden="false" customHeight="true" outlineLevel="0" collapsed="false">
      <c r="A29" s="33" t="s">
        <v>141</v>
      </c>
    </row>
    <row r="30" customFormat="false" ht="15" hidden="false" customHeight="true" outlineLevel="0" collapsed="false">
      <c r="A30" s="34" t="s">
        <v>139</v>
      </c>
    </row>
    <row r="50" customFormat="false" ht="12.75" hidden="false" customHeight="true" outlineLevel="0" collapsed="false">
      <c r="A50" s="32" t="s">
        <v>142</v>
      </c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</row>
    <row r="51" customFormat="false" ht="15" hidden="false" customHeight="true" outlineLevel="0" collapsed="false">
      <c r="A51" s="33" t="s">
        <v>143</v>
      </c>
    </row>
    <row r="52" customFormat="false" ht="15" hidden="false" customHeight="true" outlineLevel="0" collapsed="false">
      <c r="A52" s="34" t="s">
        <v>139</v>
      </c>
    </row>
    <row r="74" customFormat="false" ht="21.75" hidden="false" customHeight="true" outlineLevel="0" collapsed="false">
      <c r="A74" s="31" t="s">
        <v>144</v>
      </c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</row>
    <row r="76" customFormat="false" ht="12.75" hidden="false" customHeight="true" outlineLevel="0" collapsed="false">
      <c r="A76" s="32" t="s">
        <v>145</v>
      </c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</row>
    <row r="77" customFormat="false" ht="15" hidden="false" customHeight="true" outlineLevel="0" collapsed="false">
      <c r="A77" s="33" t="s">
        <v>138</v>
      </c>
    </row>
    <row r="78" customFormat="false" ht="15" hidden="false" customHeight="true" outlineLevel="0" collapsed="false">
      <c r="A78" s="34" t="s">
        <v>139</v>
      </c>
    </row>
    <row r="98" customFormat="false" ht="12.75" hidden="false" customHeight="true" outlineLevel="0" collapsed="false">
      <c r="A98" s="32" t="s">
        <v>146</v>
      </c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</row>
    <row r="99" customFormat="false" ht="15" hidden="false" customHeight="true" outlineLevel="0" collapsed="false">
      <c r="A99" s="33" t="s">
        <v>141</v>
      </c>
    </row>
    <row r="100" customFormat="false" ht="15" hidden="false" customHeight="true" outlineLevel="0" collapsed="false">
      <c r="A100" s="34" t="s">
        <v>139</v>
      </c>
    </row>
    <row r="120" customFormat="false" ht="12.75" hidden="false" customHeight="true" outlineLevel="0" collapsed="false">
      <c r="A120" s="32" t="s">
        <v>147</v>
      </c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</row>
    <row r="121" customFormat="false" ht="15" hidden="false" customHeight="true" outlineLevel="0" collapsed="false">
      <c r="A121" s="33" t="s">
        <v>143</v>
      </c>
    </row>
    <row r="122" customFormat="false" ht="15" hidden="false" customHeight="true" outlineLevel="0" collapsed="false">
      <c r="A122" s="34" t="s">
        <v>139</v>
      </c>
    </row>
    <row r="144" customFormat="false" ht="21.75" hidden="false" customHeight="true" outlineLevel="0" collapsed="false">
      <c r="A144" s="31" t="s">
        <v>148</v>
      </c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</row>
    <row r="146" customFormat="false" ht="12.75" hidden="false" customHeight="true" outlineLevel="0" collapsed="false">
      <c r="A146" s="32" t="s">
        <v>149</v>
      </c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</row>
    <row r="147" customFormat="false" ht="15" hidden="false" customHeight="true" outlineLevel="0" collapsed="false">
      <c r="A147" s="33" t="s">
        <v>138</v>
      </c>
    </row>
    <row r="148" customFormat="false" ht="15" hidden="false" customHeight="true" outlineLevel="0" collapsed="false">
      <c r="A148" s="34" t="s">
        <v>139</v>
      </c>
    </row>
    <row r="168" customFormat="false" ht="12.75" hidden="false" customHeight="true" outlineLevel="0" collapsed="false">
      <c r="A168" s="32" t="s">
        <v>150</v>
      </c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</row>
    <row r="169" customFormat="false" ht="15" hidden="false" customHeight="true" outlineLevel="0" collapsed="false">
      <c r="A169" s="33" t="s">
        <v>141</v>
      </c>
    </row>
    <row r="170" customFormat="false" ht="15" hidden="false" customHeight="true" outlineLevel="0" collapsed="false">
      <c r="A170" s="34" t="s">
        <v>139</v>
      </c>
    </row>
    <row r="190" customFormat="false" ht="12.75" hidden="false" customHeight="true" outlineLevel="0" collapsed="false">
      <c r="A190" s="32" t="s">
        <v>151</v>
      </c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</row>
    <row r="191" customFormat="false" ht="15" hidden="false" customHeight="true" outlineLevel="0" collapsed="false">
      <c r="A191" s="33" t="s">
        <v>143</v>
      </c>
    </row>
    <row r="192" customFormat="false" ht="15" hidden="false" customHeight="true" outlineLevel="0" collapsed="false">
      <c r="A192" s="34" t="s">
        <v>139</v>
      </c>
    </row>
  </sheetData>
  <mergeCells count="12">
    <mergeCell ref="A4:L4"/>
    <mergeCell ref="A6:L6"/>
    <mergeCell ref="A28:L28"/>
    <mergeCell ref="A50:L50"/>
    <mergeCell ref="A74:L74"/>
    <mergeCell ref="A76:L76"/>
    <mergeCell ref="A98:L98"/>
    <mergeCell ref="A120:L120"/>
    <mergeCell ref="A144:L144"/>
    <mergeCell ref="A146:L146"/>
    <mergeCell ref="A168:L168"/>
    <mergeCell ref="A190:L19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2026-10-21T09:54:10Z</dcterms:created>
  <dc:creator>openpyxl</dc:creator>
  <dc:description/>
  <dc:language>en-US</dc:language>
  <cp:lastModifiedBy/>
  <dcterms:modified xsi:type="dcterms:W3CDTF">2026-10-21T10:00:19Z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