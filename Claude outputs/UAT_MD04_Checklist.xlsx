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" sheetId="1" state="visible" r:id="rId3"/>
    <sheet name="Compare" sheetId="2" state="visible" r:id="rId4"/>
    <sheet name="Evid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<sst xmlns="http://schemas.openxmlformats.org/spreadsheetml/2006/main" count="136" uniqueCount="110">
  <si>
    <t xml:space="preserve">MGT Dashboard — UAT Checklist (MD04 Available Qty)</t>
  </si>
  <si>
    <r>
      <rPr>
        <sz val="9"/>
        <color rgb="FF595959"/>
        <rFont val="FreeSans"/>
        <family val="2"/>
      </rPr>
      <t xml:space="preserve">ขอบเขต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แก้ลำดับแถวในหน้า </t>
    </r>
    <r>
      <rPr>
        <sz val="9"/>
        <color rgb="FF595959"/>
        <rFont val="Tahoma"/>
        <family val="0"/>
        <charset val="1"/>
      </rPr>
      <t xml:space="preserve">MD04-02 </t>
    </r>
    <r>
      <rPr>
        <sz val="9"/>
        <color rgb="FF595959"/>
        <rFont val="FreeSans"/>
        <family val="2"/>
      </rPr>
      <t xml:space="preserve">ให้ตรงกับ </t>
    </r>
    <r>
      <rPr>
        <sz val="9"/>
        <color rgb="FF595959"/>
        <rFont val="Tahoma"/>
        <family val="0"/>
        <charset val="1"/>
      </rPr>
      <t xml:space="preserve">SAP (Stock → SafeSt → </t>
    </r>
    <r>
      <rPr>
        <sz val="9"/>
        <color rgb="FF595959"/>
        <rFont val="FreeSans"/>
        <family val="2"/>
      </rPr>
      <t xml:space="preserve">ตามวันที่ → รับเข้าก่อนจ่ายออก</t>
    </r>
    <r>
      <rPr>
        <sz val="9"/>
        <color rgb="FF595959"/>
        <rFont val="Tahoma"/>
        <family val="0"/>
        <charset val="1"/>
      </rPr>
      <t xml:space="preserve">) </t>
    </r>
    <r>
      <rPr>
        <sz val="9"/>
        <color rgb="FF595959"/>
        <rFont val="FreeSans"/>
        <family val="2"/>
      </rPr>
      <t xml:space="preserve">แล้วคำนวณคอลัมน์ </t>
    </r>
    <r>
      <rPr>
        <sz val="9"/>
        <color rgb="FF595959"/>
        <rFont val="Tahoma"/>
        <family val="0"/>
        <charset val="1"/>
      </rPr>
      <t xml:space="preserve">Available Qty </t>
    </r>
    <r>
      <rPr>
        <sz val="9"/>
        <color rgb="FF595959"/>
        <rFont val="FreeSans"/>
        <family val="2"/>
      </rPr>
      <t xml:space="preserve">ใหม่  </t>
    </r>
    <r>
      <rPr>
        <sz val="9"/>
        <color rgb="FF595959"/>
        <rFont val="Tahoma"/>
        <family val="0"/>
        <charset val="1"/>
      </rPr>
      <t xml:space="preserve">·  </t>
    </r>
    <r>
      <rPr>
        <sz val="9"/>
        <color rgb="FF595959"/>
        <rFont val="FreeSans"/>
        <family val="2"/>
      </rPr>
      <t xml:space="preserve">ทดสอบก่อน </t>
    </r>
    <r>
      <rPr>
        <sz val="9"/>
        <color rgb="FF595959"/>
        <rFont val="Tahoma"/>
        <family val="0"/>
        <charset val="1"/>
      </rPr>
      <t xml:space="preserve">deploy </t>
    </r>
    <r>
      <rPr>
        <sz val="9"/>
        <color rgb="FF595959"/>
        <rFont val="FreeSans"/>
        <family val="2"/>
      </rPr>
      <t xml:space="preserve">ขึ้น </t>
    </r>
    <r>
      <rPr>
        <sz val="9"/>
        <color rgb="FF595959"/>
        <rFont val="Tahoma"/>
        <family val="0"/>
        <charset val="1"/>
      </rPr>
      <t xml:space="preserve">PROD</t>
    </r>
  </si>
  <si>
    <t xml:space="preserve">Project</t>
  </si>
  <si>
    <t xml:space="preserve">MGT BI Dashboard — MD04-02 Monitor Stock / Requirements List</t>
  </si>
  <si>
    <t xml:space="preserve">Total cases</t>
  </si>
  <si>
    <t xml:space="preserve">Pass rate</t>
  </si>
  <si>
    <t xml:space="preserve">Environment</t>
  </si>
  <si>
    <r>
      <rPr>
        <sz val="10"/>
        <rFont val="Tahoma"/>
        <family val="0"/>
        <charset val="1"/>
      </rPr>
      <t xml:space="preserve">DEV / UAT (</t>
    </r>
    <r>
      <rPr>
        <sz val="10"/>
        <rFont val="FreeSans"/>
        <family val="2"/>
      </rPr>
      <t xml:space="preserve">ก่อน </t>
    </r>
    <r>
      <rPr>
        <sz val="10"/>
        <rFont val="Tahoma"/>
        <family val="0"/>
        <charset val="1"/>
      </rPr>
      <t xml:space="preserve">deploy)</t>
    </r>
  </si>
  <si>
    <t xml:space="preserve">Pass</t>
  </si>
  <si>
    <t xml:space="preserve">Tested by</t>
  </si>
  <si>
    <t xml:space="preserve">Fail</t>
  </si>
  <si>
    <r>
      <rPr>
        <sz val="9"/>
        <color rgb="FF595959"/>
        <rFont val="FreeSans"/>
        <family val="2"/>
      </rPr>
      <t xml:space="preserve">ต้องได้ </t>
    </r>
    <r>
      <rPr>
        <sz val="9"/>
        <color rgb="FF595959"/>
        <rFont val="Tahoma"/>
        <family val="0"/>
        <charset val="1"/>
      </rPr>
      <t xml:space="preserve">Pass </t>
    </r>
    <r>
      <rPr>
        <sz val="9"/>
        <color rgb="FF595959"/>
        <rFont val="FreeSans"/>
        <family val="2"/>
      </rPr>
      <t xml:space="preserve">ครบทุกเคส และชีต </t>
    </r>
    <r>
      <rPr>
        <sz val="9"/>
        <color rgb="FF595959"/>
        <rFont val="Tahoma"/>
        <family val="0"/>
        <charset val="1"/>
      </rPr>
      <t xml:space="preserve">Compare </t>
    </r>
    <r>
      <rPr>
        <sz val="9"/>
        <color rgb="FF595959"/>
        <rFont val="FreeSans"/>
        <family val="2"/>
      </rPr>
      <t xml:space="preserve">ขึ้น </t>
    </r>
    <r>
      <rPr>
        <sz val="9"/>
        <color rgb="FF595959"/>
        <rFont val="Tahoma"/>
        <family val="0"/>
        <charset val="1"/>
      </rPr>
      <t xml:space="preserve">"Match" </t>
    </r>
    <r>
      <rPr>
        <sz val="9"/>
        <color rgb="FF595959"/>
        <rFont val="FreeSans"/>
        <family val="2"/>
      </rPr>
      <t xml:space="preserve">ครบ </t>
    </r>
    <r>
      <rPr>
        <sz val="9"/>
        <color rgb="FF595959"/>
        <rFont val="Tahoma"/>
        <family val="0"/>
        <charset val="1"/>
      </rPr>
      <t xml:space="preserve">10 </t>
    </r>
    <r>
      <rPr>
        <sz val="9"/>
        <color rgb="FF595959"/>
        <rFont val="FreeSans"/>
        <family val="2"/>
      </rPr>
      <t xml:space="preserve">แถว ก่อน </t>
    </r>
    <r>
      <rPr>
        <sz val="9"/>
        <color rgb="FF595959"/>
        <rFont val="Tahoma"/>
        <family val="0"/>
        <charset val="1"/>
      </rPr>
      <t xml:space="preserve">deploy</t>
    </r>
  </si>
  <si>
    <t xml:space="preserve">Version / Date</t>
  </si>
  <si>
    <t xml:space="preserve">Pending</t>
  </si>
  <si>
    <t xml:space="preserve">Evidence</t>
  </si>
  <si>
    <r>
      <rPr>
        <sz val="10"/>
        <rFont val="FreeSans"/>
        <family val="2"/>
      </rPr>
      <t xml:space="preserve">ภาพ </t>
    </r>
    <r>
      <rPr>
        <sz val="10"/>
        <rFont val="Tahoma"/>
        <family val="0"/>
        <charset val="1"/>
      </rPr>
      <t xml:space="preserve">SAP vs Dashboard </t>
    </r>
    <r>
      <rPr>
        <sz val="10"/>
        <rFont val="FreeSans"/>
        <family val="2"/>
      </rPr>
      <t xml:space="preserve">อยู่ในชีต </t>
    </r>
    <r>
      <rPr>
        <sz val="10"/>
        <rFont val="Tahoma"/>
        <family val="0"/>
        <charset val="1"/>
      </rPr>
      <t xml:space="preserve">"Evidence"  ·  </t>
    </r>
    <r>
      <rPr>
        <sz val="10"/>
        <rFont val="FreeSans"/>
        <family val="2"/>
      </rPr>
      <t xml:space="preserve">ตารางเทียบ </t>
    </r>
    <r>
      <rPr>
        <sz val="10"/>
        <rFont val="Tahoma"/>
        <family val="0"/>
        <charset val="1"/>
      </rPr>
      <t xml:space="preserve">10 material </t>
    </r>
    <r>
      <rPr>
        <sz val="10"/>
        <rFont val="FreeSans"/>
        <family val="2"/>
      </rPr>
      <t xml:space="preserve">อยู่ในชีต </t>
    </r>
    <r>
      <rPr>
        <sz val="10"/>
        <rFont val="Tahoma"/>
        <family val="0"/>
        <charset val="1"/>
      </rPr>
      <t xml:space="preserve">"Compare"</t>
    </r>
  </si>
  <si>
    <t xml:space="preserve">N/A</t>
  </si>
  <si>
    <t xml:space="preserve">Test ID</t>
  </si>
  <si>
    <t xml:space="preserve">Area</t>
  </si>
  <si>
    <t xml:space="preserve">Test Case</t>
  </si>
  <si>
    <t xml:space="preserve">Expected Result</t>
  </si>
  <si>
    <t xml:space="preserve">Result</t>
  </si>
  <si>
    <t xml:space="preserve">Tested At</t>
  </si>
  <si>
    <t xml:space="preserve">Remark / Evidence</t>
  </si>
  <si>
    <t xml:space="preserve">T01</t>
  </si>
  <si>
    <t xml:space="preserve">ลำดับแถว — วันเดียวกัน</t>
  </si>
  <si>
    <r>
      <rPr>
        <sz val="10"/>
        <rFont val="Tahoma"/>
        <family val="0"/>
        <charset val="1"/>
      </rPr>
      <t xml:space="preserve">material </t>
    </r>
    <r>
      <rPr>
        <sz val="10"/>
        <rFont val="FreeSans"/>
        <family val="2"/>
      </rPr>
      <t xml:space="preserve">ที่มีทั้งรายการรับเข้าและจ่ายออกในวันเดียวกัน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เช่น </t>
    </r>
    <r>
      <rPr>
        <sz val="10"/>
        <rFont val="Tahoma"/>
        <family val="0"/>
        <charset val="1"/>
      </rPr>
      <t xml:space="preserve">PERB01-JP-CT-28 </t>
    </r>
    <r>
      <rPr>
        <sz val="10"/>
        <rFont val="FreeSans"/>
        <family val="2"/>
      </rPr>
      <t xml:space="preserve">วันที่ </t>
    </r>
    <r>
      <rPr>
        <sz val="10"/>
        <rFont val="Tahoma"/>
        <family val="0"/>
        <charset val="1"/>
      </rPr>
      <t xml:space="preserve">08-12-2026)</t>
    </r>
  </si>
  <si>
    <r>
      <rPr>
        <sz val="10"/>
        <rFont val="FreeSans"/>
        <family val="2"/>
      </rPr>
      <t xml:space="preserve">แถวรับเข้า </t>
    </r>
    <r>
      <rPr>
        <sz val="10"/>
        <rFont val="Tahoma"/>
        <family val="0"/>
        <charset val="1"/>
      </rPr>
      <t xml:space="preserve">(POitem / ShpgNt) </t>
    </r>
    <r>
      <rPr>
        <sz val="10"/>
        <rFont val="FreeSans"/>
        <family val="2"/>
      </rPr>
      <t xml:space="preserve">แสดงก่อนแถวจ่ายออก </t>
    </r>
    <r>
      <rPr>
        <sz val="10"/>
        <rFont val="Tahoma"/>
        <family val="0"/>
        <charset val="1"/>
      </rPr>
      <t xml:space="preserve">(CusOrd) </t>
    </r>
    <r>
      <rPr>
        <sz val="10"/>
        <rFont val="FreeSans"/>
        <family val="2"/>
      </rPr>
      <t xml:space="preserve">เหมือน </t>
    </r>
    <r>
      <rPr>
        <sz val="10"/>
        <rFont val="Tahoma"/>
        <family val="0"/>
        <charset val="1"/>
      </rPr>
      <t xml:space="preserve">SAP</t>
    </r>
  </si>
  <si>
    <t xml:space="preserve">T02</t>
  </si>
  <si>
    <t xml:space="preserve">Available Qty</t>
  </si>
  <si>
    <r>
      <rPr>
        <sz val="10"/>
        <rFont val="FreeSans"/>
        <family val="2"/>
      </rPr>
      <t xml:space="preserve">เทียบคอลัมน์ </t>
    </r>
    <r>
      <rPr>
        <sz val="10"/>
        <rFont val="Tahoma"/>
        <family val="0"/>
        <charset val="1"/>
      </rPr>
      <t xml:space="preserve">Available Qty </t>
    </r>
    <r>
      <rPr>
        <sz val="10"/>
        <rFont val="FreeSans"/>
        <family val="2"/>
      </rPr>
      <t xml:space="preserve">ทุกแถวกับ </t>
    </r>
    <r>
      <rPr>
        <sz val="10"/>
        <rFont val="Tahoma"/>
        <family val="0"/>
        <charset val="1"/>
      </rPr>
      <t xml:space="preserve">SAP MD04</t>
    </r>
  </si>
  <si>
    <r>
      <rPr>
        <sz val="10"/>
        <rFont val="FreeSans"/>
        <family val="2"/>
      </rPr>
      <t xml:space="preserve">ตัวเลขตรงกับ </t>
    </r>
    <r>
      <rPr>
        <sz val="10"/>
        <rFont val="Tahoma"/>
        <family val="0"/>
        <charset val="1"/>
      </rPr>
      <t xml:space="preserve">SAP </t>
    </r>
    <r>
      <rPr>
        <sz val="10"/>
        <rFont val="FreeSans"/>
        <family val="2"/>
      </rPr>
      <t xml:space="preserve">ทุกแถว ไม่ใช่แค่แถวสุดท้าย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เคส </t>
    </r>
    <r>
      <rPr>
        <sz val="10"/>
        <rFont val="Tahoma"/>
        <family val="0"/>
        <charset val="1"/>
      </rPr>
      <t xml:space="preserve">PERB01: </t>
    </r>
    <r>
      <rPr>
        <sz val="10"/>
        <rFont val="FreeSans"/>
        <family val="2"/>
      </rPr>
      <t xml:space="preserve">ต้องเป็น </t>
    </r>
    <r>
      <rPr>
        <sz val="10"/>
        <rFont val="Tahoma"/>
        <family val="0"/>
        <charset val="1"/>
      </rPr>
      <t xml:space="preserve">104 </t>
    </r>
    <r>
      <rPr>
        <sz val="10"/>
        <rFont val="FreeSans"/>
        <family val="2"/>
      </rPr>
      <t xml:space="preserve">แล้ว </t>
    </r>
    <r>
      <rPr>
        <sz val="10"/>
        <rFont val="Tahoma"/>
        <family val="0"/>
        <charset val="1"/>
      </rPr>
      <t xml:space="preserve">61 </t>
    </r>
    <r>
      <rPr>
        <sz val="10"/>
        <rFont val="FreeSans"/>
        <family val="2"/>
      </rPr>
      <t xml:space="preserve">ไม่ใช่ </t>
    </r>
    <r>
      <rPr>
        <sz val="10"/>
        <rFont val="Tahoma"/>
        <family val="0"/>
        <charset val="1"/>
      </rPr>
      <t xml:space="preserve">1 </t>
    </r>
    <r>
      <rPr>
        <sz val="10"/>
        <rFont val="FreeSans"/>
        <family val="2"/>
      </rPr>
      <t xml:space="preserve">แล้ว </t>
    </r>
    <r>
      <rPr>
        <sz val="10"/>
        <rFont val="Tahoma"/>
        <family val="0"/>
        <charset val="1"/>
      </rPr>
      <t xml:space="preserve">61)</t>
    </r>
  </si>
  <si>
    <t xml:space="preserve">T03</t>
  </si>
  <si>
    <r>
      <rPr>
        <sz val="10"/>
        <rFont val="FreeSans"/>
        <family val="2"/>
      </rPr>
      <t xml:space="preserve">แถว </t>
    </r>
    <r>
      <rPr>
        <sz val="10"/>
        <rFont val="Tahoma"/>
        <family val="0"/>
        <charset val="1"/>
      </rPr>
      <t xml:space="preserve">Stock</t>
    </r>
  </si>
  <si>
    <t xml:space="preserve">ตรวจแถวแรกสุดของตาราง</t>
  </si>
  <si>
    <r>
      <rPr>
        <sz val="10"/>
        <rFont val="FreeSans"/>
        <family val="2"/>
      </rPr>
      <t xml:space="preserve">แถว </t>
    </r>
    <r>
      <rPr>
        <sz val="10"/>
        <rFont val="Tahoma"/>
        <family val="0"/>
        <charset val="1"/>
      </rPr>
      <t xml:space="preserve">Stock </t>
    </r>
    <r>
      <rPr>
        <sz val="10"/>
        <rFont val="FreeSans"/>
        <family val="2"/>
      </rPr>
      <t xml:space="preserve">อยู่บนสุดเสมอ และ </t>
    </r>
    <r>
      <rPr>
        <sz val="10"/>
        <rFont val="Tahoma"/>
        <family val="0"/>
        <charset val="1"/>
      </rPr>
      <t xml:space="preserve">Available Qty </t>
    </r>
    <r>
      <rPr>
        <sz val="10"/>
        <rFont val="FreeSans"/>
        <family val="2"/>
      </rPr>
      <t xml:space="preserve">เท่ากับยอดสต็อกปัจจุบันใน </t>
    </r>
    <r>
      <rPr>
        <sz val="10"/>
        <rFont val="Tahoma"/>
        <family val="0"/>
        <charset val="1"/>
      </rPr>
      <t xml:space="preserve">SAP</t>
    </r>
  </si>
  <si>
    <t xml:space="preserve">T04</t>
  </si>
  <si>
    <r>
      <rPr>
        <sz val="10"/>
        <rFont val="FreeSans"/>
        <family val="2"/>
      </rPr>
      <t xml:space="preserve">แถว </t>
    </r>
    <r>
      <rPr>
        <sz val="10"/>
        <rFont val="Tahoma"/>
        <family val="0"/>
        <charset val="1"/>
      </rPr>
      <t xml:space="preserve">SafeSt</t>
    </r>
  </si>
  <si>
    <r>
      <rPr>
        <sz val="10"/>
        <rFont val="Tahoma"/>
        <family val="0"/>
        <charset val="1"/>
      </rPr>
      <t xml:space="preserve">material </t>
    </r>
    <r>
      <rPr>
        <sz val="10"/>
        <rFont val="FreeSans"/>
        <family val="2"/>
      </rPr>
      <t xml:space="preserve">ที่มี </t>
    </r>
    <r>
      <rPr>
        <sz val="10"/>
        <rFont val="Tahoma"/>
        <family val="0"/>
        <charset val="1"/>
      </rPr>
      <t xml:space="preserve">Safety Stock (</t>
    </r>
    <r>
      <rPr>
        <sz val="10"/>
        <rFont val="FreeSans"/>
        <family val="2"/>
      </rPr>
      <t xml:space="preserve">เช่น </t>
    </r>
    <r>
      <rPr>
        <sz val="10"/>
        <rFont val="Tahoma"/>
        <family val="0"/>
        <charset val="1"/>
      </rPr>
      <t xml:space="preserve">CAAL01-FR-BG-02)</t>
    </r>
  </si>
  <si>
    <r>
      <rPr>
        <sz val="10"/>
        <rFont val="FreeSans"/>
        <family val="2"/>
      </rPr>
      <t xml:space="preserve">แถว </t>
    </r>
    <r>
      <rPr>
        <sz val="10"/>
        <rFont val="Tahoma"/>
        <family val="0"/>
        <charset val="1"/>
      </rPr>
      <t xml:space="preserve">SafeSt </t>
    </r>
    <r>
      <rPr>
        <sz val="10"/>
        <rFont val="FreeSans"/>
        <family val="2"/>
      </rPr>
      <t xml:space="preserve">อยู่ถัดจาก </t>
    </r>
    <r>
      <rPr>
        <sz val="10"/>
        <rFont val="Tahoma"/>
        <family val="0"/>
        <charset val="1"/>
      </rPr>
      <t xml:space="preserve">Stock </t>
    </r>
    <r>
      <rPr>
        <sz val="10"/>
        <rFont val="FreeSans"/>
        <family val="2"/>
      </rPr>
      <t xml:space="preserve">และหักยอดออกถูกต้อง </t>
    </r>
    <r>
      <rPr>
        <sz val="10"/>
        <rFont val="Tahoma"/>
        <family val="0"/>
        <charset val="1"/>
      </rPr>
      <t xml:space="preserve">(Stock − SafeSt)</t>
    </r>
  </si>
  <si>
    <t xml:space="preserve">T05</t>
  </si>
  <si>
    <r>
      <rPr>
        <sz val="10"/>
        <rFont val="Tahoma"/>
        <family val="0"/>
        <charset val="1"/>
      </rPr>
      <t xml:space="preserve">Regression — </t>
    </r>
    <r>
      <rPr>
        <sz val="10"/>
        <rFont val="FreeSans"/>
        <family val="2"/>
      </rPr>
      <t xml:space="preserve">ไม่มีวันซ้ำ</t>
    </r>
  </si>
  <si>
    <r>
      <rPr>
        <sz val="10"/>
        <rFont val="Tahoma"/>
        <family val="0"/>
        <charset val="1"/>
      </rPr>
      <t xml:space="preserve">material </t>
    </r>
    <r>
      <rPr>
        <sz val="10"/>
        <rFont val="FreeSans"/>
        <family val="2"/>
      </rPr>
      <t xml:space="preserve">ที่ไม่มีวันที่ซ้ำกันเลย</t>
    </r>
  </si>
  <si>
    <r>
      <rPr>
        <sz val="10"/>
        <rFont val="FreeSans"/>
        <family val="2"/>
      </rPr>
      <t xml:space="preserve">ลำดับแถวและ </t>
    </r>
    <r>
      <rPr>
        <sz val="10"/>
        <rFont val="Tahoma"/>
        <family val="0"/>
        <charset val="1"/>
      </rPr>
      <t xml:space="preserve">Available Qty </t>
    </r>
    <r>
      <rPr>
        <sz val="10"/>
        <rFont val="FreeSans"/>
        <family val="2"/>
      </rPr>
      <t xml:space="preserve">เหมือนเดิมทุกประการ ไม่เปลี่ยนจากก่อนแก้</t>
    </r>
  </si>
  <si>
    <t xml:space="preserve">T06</t>
  </si>
  <si>
    <t xml:space="preserve">จำนวนแถว</t>
  </si>
  <si>
    <r>
      <rPr>
        <sz val="10"/>
        <rFont val="FreeSans"/>
        <family val="2"/>
      </rPr>
      <t xml:space="preserve">นับจำนวนแถวในตารางเทียบกับ </t>
    </r>
    <r>
      <rPr>
        <sz val="10"/>
        <rFont val="Tahoma"/>
        <family val="0"/>
        <charset val="1"/>
      </rPr>
      <t xml:space="preserve">SAP</t>
    </r>
  </si>
  <si>
    <r>
      <rPr>
        <sz val="10"/>
        <rFont val="FreeSans"/>
        <family val="2"/>
      </rPr>
      <t xml:space="preserve">จำนวนแถวเท่ากับ </t>
    </r>
    <r>
      <rPr>
        <sz val="10"/>
        <rFont val="Tahoma"/>
        <family val="0"/>
        <charset val="1"/>
      </rPr>
      <t xml:space="preserve">SAP </t>
    </r>
    <r>
      <rPr>
        <sz val="10"/>
        <rFont val="FreeSans"/>
        <family val="2"/>
      </rPr>
      <t xml:space="preserve">ไม่มีแถวหายหรือเกินจากการเรียงใหม่</t>
    </r>
  </si>
  <si>
    <t xml:space="preserve">T07</t>
  </si>
  <si>
    <r>
      <rPr>
        <sz val="10"/>
        <rFont val="FreeSans"/>
        <family val="2"/>
      </rPr>
      <t xml:space="preserve">สรุป </t>
    </r>
    <r>
      <rPr>
        <sz val="10"/>
        <rFont val="Tahoma"/>
        <family val="0"/>
        <charset val="1"/>
      </rPr>
      <t xml:space="preserve">10 material</t>
    </r>
  </si>
  <si>
    <r>
      <rPr>
        <sz val="10"/>
        <rFont val="FreeSans"/>
        <family val="2"/>
      </rPr>
      <t xml:space="preserve">ตรวจผลในชีต </t>
    </r>
    <r>
      <rPr>
        <sz val="10"/>
        <rFont val="Tahoma"/>
        <family val="0"/>
        <charset val="1"/>
      </rPr>
      <t xml:space="preserve">Compare</t>
    </r>
  </si>
  <si>
    <r>
      <rPr>
        <sz val="10"/>
        <rFont val="FreeSans"/>
        <family val="2"/>
      </rPr>
      <t xml:space="preserve">ทั้ง </t>
    </r>
    <r>
      <rPr>
        <sz val="10"/>
        <rFont val="Tahoma"/>
        <family val="0"/>
        <charset val="1"/>
      </rPr>
      <t xml:space="preserve">10 material </t>
    </r>
    <r>
      <rPr>
        <sz val="10"/>
        <rFont val="FreeSans"/>
        <family val="2"/>
      </rPr>
      <t xml:space="preserve">ขึ้นสถานะ </t>
    </r>
    <r>
      <rPr>
        <sz val="10"/>
        <rFont val="Tahoma"/>
        <family val="0"/>
        <charset val="1"/>
      </rPr>
      <t xml:space="preserve">Match — </t>
    </r>
    <r>
      <rPr>
        <sz val="10"/>
        <rFont val="FreeSans"/>
        <family val="2"/>
      </rPr>
      <t xml:space="preserve">จำนวนแถว </t>
    </r>
    <r>
      <rPr>
        <sz val="10"/>
        <rFont val="Tahoma"/>
        <family val="0"/>
        <charset val="1"/>
      </rPr>
      <t xml:space="preserve">/ Stock </t>
    </r>
    <r>
      <rPr>
        <sz val="10"/>
        <rFont val="FreeSans"/>
        <family val="2"/>
      </rPr>
      <t xml:space="preserve">ตั้งต้น </t>
    </r>
    <r>
      <rPr>
        <sz val="10"/>
        <rFont val="Tahoma"/>
        <family val="0"/>
        <charset val="1"/>
      </rPr>
      <t xml:space="preserve">/ Available </t>
    </r>
    <r>
      <rPr>
        <sz val="10"/>
        <rFont val="FreeSans"/>
        <family val="2"/>
      </rPr>
      <t xml:space="preserve">แถวสุดท้าย </t>
    </r>
    <r>
      <rPr>
        <sz val="10"/>
        <rFont val="Tahoma"/>
        <family val="0"/>
        <charset val="1"/>
      </rPr>
      <t xml:space="preserve">/ Available </t>
    </r>
    <r>
      <rPr>
        <sz val="10"/>
        <rFont val="FreeSans"/>
        <family val="2"/>
      </rPr>
      <t xml:space="preserve">ณ แถววันซ้ำ ตรงกับ </t>
    </r>
    <r>
      <rPr>
        <sz val="10"/>
        <rFont val="Tahoma"/>
        <family val="0"/>
        <charset val="1"/>
      </rPr>
      <t xml:space="preserve">SAP</t>
    </r>
  </si>
  <si>
    <r>
      <rPr>
        <b val="true"/>
        <sz val="10"/>
        <rFont val="FreeSans"/>
        <family val="2"/>
      </rPr>
      <t xml:space="preserve">วิธีใช้  </t>
    </r>
    <r>
      <rPr>
        <b val="true"/>
        <sz val="10"/>
        <rFont val="Tahoma"/>
        <family val="0"/>
        <charset val="1"/>
      </rPr>
      <t xml:space="preserve">·  </t>
    </r>
    <r>
      <rPr>
        <b val="true"/>
        <sz val="10"/>
        <rFont val="FreeSans"/>
        <family val="2"/>
      </rPr>
      <t xml:space="preserve">ช่องพื้นเหลือง </t>
    </r>
    <r>
      <rPr>
        <b val="true"/>
        <sz val="10"/>
        <rFont val="Tahoma"/>
        <family val="0"/>
        <charset val="1"/>
      </rPr>
      <t xml:space="preserve">= </t>
    </r>
    <r>
      <rPr>
        <b val="true"/>
        <sz val="10"/>
        <rFont val="FreeSans"/>
        <family val="2"/>
      </rPr>
      <t xml:space="preserve">ช่องที่ต้องกรอก</t>
    </r>
  </si>
  <si>
    <r>
      <rPr>
        <sz val="9"/>
        <color rgb="FF595959"/>
        <rFont val="FreeSans"/>
        <family val="2"/>
      </rPr>
      <t xml:space="preserve">•  กรอกชีต </t>
    </r>
    <r>
      <rPr>
        <sz val="9"/>
        <color rgb="FF595959"/>
        <rFont val="Tahoma"/>
        <family val="0"/>
        <charset val="1"/>
      </rPr>
      <t xml:space="preserve">Compare </t>
    </r>
    <r>
      <rPr>
        <sz val="9"/>
        <color rgb="FF595959"/>
        <rFont val="FreeSans"/>
        <family val="2"/>
      </rPr>
      <t xml:space="preserve">ให้ครบ </t>
    </r>
    <r>
      <rPr>
        <sz val="9"/>
        <color rgb="FF595959"/>
        <rFont val="Tahoma"/>
        <family val="0"/>
        <charset val="1"/>
      </rPr>
      <t xml:space="preserve">10 material </t>
    </r>
    <r>
      <rPr>
        <sz val="9"/>
        <color rgb="FF595959"/>
        <rFont val="FreeSans"/>
        <family val="2"/>
      </rPr>
      <t xml:space="preserve">ก่อน แล้วค่อยสรุป </t>
    </r>
    <r>
      <rPr>
        <sz val="9"/>
        <color rgb="FF595959"/>
        <rFont val="Tahoma"/>
        <family val="0"/>
        <charset val="1"/>
      </rPr>
      <t xml:space="preserve">Pass/Fail </t>
    </r>
    <r>
      <rPr>
        <sz val="9"/>
        <color rgb="FF595959"/>
        <rFont val="FreeSans"/>
        <family val="2"/>
      </rPr>
      <t xml:space="preserve">ในชีตนี้</t>
    </r>
  </si>
  <si>
    <r>
      <rPr>
        <sz val="9"/>
        <color rgb="FF595959"/>
        <rFont val="FreeSans"/>
        <family val="2"/>
      </rPr>
      <t xml:space="preserve">•  คอลัมน์ </t>
    </r>
    <r>
      <rPr>
        <sz val="9"/>
        <color rgb="FF595959"/>
        <rFont val="Tahoma"/>
        <family val="0"/>
        <charset val="1"/>
      </rPr>
      <t xml:space="preserve">F (Tested At) </t>
    </r>
    <r>
      <rPr>
        <sz val="9"/>
        <color rgb="FF595959"/>
        <rFont val="FreeSans"/>
        <family val="2"/>
      </rPr>
      <t xml:space="preserve">เติมวันที่ให้เองเมื่อ </t>
    </r>
    <r>
      <rPr>
        <sz val="9"/>
        <color rgb="FF595959"/>
        <rFont val="Tahoma"/>
        <family val="0"/>
        <charset val="1"/>
      </rPr>
      <t xml:space="preserve">Result = "Pass"</t>
    </r>
  </si>
  <si>
    <r>
      <rPr>
        <sz val="9"/>
        <color rgb="FF595959"/>
        <rFont val="FreeSans"/>
        <family val="2"/>
      </rPr>
      <t xml:space="preserve">•  ชีต </t>
    </r>
    <r>
      <rPr>
        <sz val="9"/>
        <color rgb="FF595959"/>
        <rFont val="Tahoma"/>
        <family val="0"/>
        <charset val="1"/>
      </rPr>
      <t xml:space="preserve">Evidence — </t>
    </r>
    <r>
      <rPr>
        <sz val="9"/>
        <color rgb="FF595959"/>
        <rFont val="FreeSans"/>
        <family val="2"/>
      </rPr>
      <t xml:space="preserve">ภาพ </t>
    </r>
    <r>
      <rPr>
        <sz val="9"/>
        <color rgb="FF595959"/>
        <rFont val="Tahoma"/>
        <family val="0"/>
        <charset val="1"/>
      </rPr>
      <t xml:space="preserve">E01–E20 (material </t>
    </r>
    <r>
      <rPr>
        <sz val="9"/>
        <color rgb="FF595959"/>
        <rFont val="FreeSans"/>
        <family val="2"/>
      </rPr>
      <t xml:space="preserve">ละ </t>
    </r>
    <r>
      <rPr>
        <sz val="9"/>
        <color rgb="FF595959"/>
        <rFont val="Tahoma"/>
        <family val="0"/>
        <charset val="1"/>
      </rPr>
      <t xml:space="preserve">2 </t>
    </r>
    <r>
      <rPr>
        <sz val="9"/>
        <color rgb="FF595959"/>
        <rFont val="FreeSans"/>
        <family val="2"/>
      </rPr>
      <t xml:space="preserve">ภาพ</t>
    </r>
    <r>
      <rPr>
        <sz val="9"/>
        <color rgb="FF595959"/>
        <rFont val="Tahoma"/>
        <family val="0"/>
        <charset val="1"/>
      </rPr>
      <t xml:space="preserve">: SAP MD04 / Dashboard MD04)</t>
    </r>
  </si>
  <si>
    <r>
      <rPr>
        <i val="true"/>
        <sz val="9"/>
        <color rgb="FF595959"/>
        <rFont val="FreeSans"/>
        <family val="2"/>
      </rPr>
      <t xml:space="preserve">   ตัวอย่าง</t>
    </r>
    <r>
      <rPr>
        <i val="true"/>
        <sz val="9"/>
        <color rgb="FF595959"/>
        <rFont val="Tahoma"/>
        <family val="0"/>
        <charset val="1"/>
      </rPr>
      <t xml:space="preserve">: T01 | Result = Pass | Remark = "PERB01 08-12-2026 </t>
    </r>
    <r>
      <rPr>
        <i val="true"/>
        <sz val="9"/>
        <color rgb="FF595959"/>
        <rFont val="FreeSans"/>
        <family val="2"/>
      </rPr>
      <t xml:space="preserve">แสดง </t>
    </r>
    <r>
      <rPr>
        <i val="true"/>
        <sz val="9"/>
        <color rgb="FF595959"/>
        <rFont val="Tahoma"/>
        <family val="0"/>
        <charset val="1"/>
      </rPr>
      <t xml:space="preserve">POitem </t>
    </r>
    <r>
      <rPr>
        <i val="true"/>
        <sz val="9"/>
        <color rgb="FF595959"/>
        <rFont val="FreeSans"/>
        <family val="2"/>
      </rPr>
      <t xml:space="preserve">ก่อน </t>
    </r>
    <r>
      <rPr>
        <i val="true"/>
        <sz val="9"/>
        <color rgb="FF595959"/>
        <rFont val="Tahoma"/>
        <family val="0"/>
        <charset val="1"/>
      </rPr>
      <t xml:space="preserve">CusOrd (</t>
    </r>
    <r>
      <rPr>
        <i val="true"/>
        <sz val="9"/>
        <color rgb="FF595959"/>
        <rFont val="FreeSans"/>
        <family val="2"/>
      </rPr>
      <t xml:space="preserve">ภาพ </t>
    </r>
    <r>
      <rPr>
        <i val="true"/>
        <sz val="9"/>
        <color rgb="FF595959"/>
        <rFont val="Tahoma"/>
        <family val="0"/>
        <charset val="1"/>
      </rPr>
      <t xml:space="preserve">E01/E02)"</t>
    </r>
  </si>
  <si>
    <t xml:space="preserve">เทียบหน้า SAP MD04 กับ Dashboard MD04 — 10 Material</t>
  </si>
  <si>
    <t xml:space="preserve">กรอกช่องพื้นเหลืองทั้งหมด  ·  คอลัมน์ L คำนวณให้อัตโนมัติ  ·  คอลัมน์ H เลือก Yes เมื่อ material นั้นมีวันที่ที่มีทั้งรายการรับเข้าและจ่ายออก (ถ้า No ไม่ต้องกรอก I, J)</t>
  </si>
  <si>
    <t xml:space="preserve">#</t>
  </si>
  <si>
    <t xml:space="preserve">Material</t>
  </si>
  <si>
    <t xml:space="preserve">แถว
SAP</t>
  </si>
  <si>
    <t xml:space="preserve">แถว
Dash</t>
  </si>
  <si>
    <r>
      <rPr>
        <b val="true"/>
        <sz val="10"/>
        <color rgb="FFFFFFFF"/>
        <rFont val="Tahoma"/>
        <family val="0"/>
        <charset val="1"/>
      </rPr>
      <t xml:space="preserve">Stock </t>
    </r>
    <r>
      <rPr>
        <b val="true"/>
        <sz val="10"/>
        <color rgb="FFFFFFFF"/>
        <rFont val="FreeSans"/>
        <family val="2"/>
      </rPr>
      <t xml:space="preserve">ตั้งต้น
</t>
    </r>
    <r>
      <rPr>
        <b val="true"/>
        <sz val="10"/>
        <color rgb="FFFFFFFF"/>
        <rFont val="Tahoma"/>
        <family val="0"/>
        <charset val="1"/>
      </rPr>
      <t xml:space="preserve">SAP</t>
    </r>
  </si>
  <si>
    <r>
      <rPr>
        <b val="true"/>
        <sz val="10"/>
        <color rgb="FFFFFFFF"/>
        <rFont val="Tahoma"/>
        <family val="0"/>
        <charset val="1"/>
      </rPr>
      <t xml:space="preserve">Stock </t>
    </r>
    <r>
      <rPr>
        <b val="true"/>
        <sz val="10"/>
        <color rgb="FFFFFFFF"/>
        <rFont val="FreeSans"/>
        <family val="2"/>
      </rPr>
      <t xml:space="preserve">ตั้งต้น
</t>
    </r>
    <r>
      <rPr>
        <b val="true"/>
        <sz val="10"/>
        <color rgb="FFFFFFFF"/>
        <rFont val="Tahoma"/>
        <family val="0"/>
        <charset val="1"/>
      </rPr>
      <t xml:space="preserve">Dash</t>
    </r>
  </si>
  <si>
    <r>
      <rPr>
        <b val="true"/>
        <sz val="10"/>
        <color rgb="FFFFFFFF"/>
        <rFont val="Tahoma"/>
        <family val="0"/>
        <charset val="1"/>
      </rPr>
      <t xml:space="preserve">Available </t>
    </r>
    <r>
      <rPr>
        <b val="true"/>
        <sz val="10"/>
        <color rgb="FFFFFFFF"/>
        <rFont val="FreeSans"/>
        <family val="2"/>
      </rPr>
      <t xml:space="preserve">แถวสุดท้าย
</t>
    </r>
    <r>
      <rPr>
        <b val="true"/>
        <sz val="10"/>
        <color rgb="FFFFFFFF"/>
        <rFont val="Tahoma"/>
        <family val="0"/>
        <charset val="1"/>
      </rPr>
      <t xml:space="preserve">SAP</t>
    </r>
  </si>
  <si>
    <r>
      <rPr>
        <b val="true"/>
        <sz val="10"/>
        <color rgb="FFFFFFFF"/>
        <rFont val="Tahoma"/>
        <family val="0"/>
        <charset val="1"/>
      </rPr>
      <t xml:space="preserve">Available </t>
    </r>
    <r>
      <rPr>
        <b val="true"/>
        <sz val="10"/>
        <color rgb="FFFFFFFF"/>
        <rFont val="FreeSans"/>
        <family val="2"/>
      </rPr>
      <t xml:space="preserve">แถวสุดท้าย
</t>
    </r>
    <r>
      <rPr>
        <b val="true"/>
        <sz val="10"/>
        <color rgb="FFFFFFFF"/>
        <rFont val="Tahoma"/>
        <family val="0"/>
        <charset val="1"/>
      </rPr>
      <t xml:space="preserve">Dash</t>
    </r>
  </si>
  <si>
    <t xml:space="preserve">มีวันซ้ำ
(รับ+จ่าย)</t>
  </si>
  <si>
    <r>
      <rPr>
        <b val="true"/>
        <sz val="10"/>
        <color rgb="FFFFFFFF"/>
        <rFont val="Tahoma"/>
        <family val="0"/>
        <charset val="1"/>
      </rPr>
      <t xml:space="preserve">Available </t>
    </r>
    <r>
      <rPr>
        <b val="true"/>
        <sz val="10"/>
        <color rgb="FFFFFFFF"/>
        <rFont val="FreeSans"/>
        <family val="2"/>
      </rPr>
      <t xml:space="preserve">ณ แถววันซ้ำ
</t>
    </r>
    <r>
      <rPr>
        <b val="true"/>
        <sz val="10"/>
        <color rgb="FFFFFFFF"/>
        <rFont val="Tahoma"/>
        <family val="0"/>
        <charset val="1"/>
      </rPr>
      <t xml:space="preserve">SAP</t>
    </r>
  </si>
  <si>
    <r>
      <rPr>
        <b val="true"/>
        <sz val="10"/>
        <color rgb="FFFFFFFF"/>
        <rFont val="Tahoma"/>
        <family val="0"/>
        <charset val="1"/>
      </rPr>
      <t xml:space="preserve">Available </t>
    </r>
    <r>
      <rPr>
        <b val="true"/>
        <sz val="10"/>
        <color rgb="FFFFFFFF"/>
        <rFont val="FreeSans"/>
        <family val="2"/>
      </rPr>
      <t xml:space="preserve">ณ แถววันซ้ำ
</t>
    </r>
    <r>
      <rPr>
        <b val="true"/>
        <sz val="10"/>
        <color rgb="FFFFFFFF"/>
        <rFont val="Tahoma"/>
        <family val="0"/>
        <charset val="1"/>
      </rPr>
      <t xml:space="preserve">Dash</t>
    </r>
  </si>
  <si>
    <t xml:space="preserve">Status</t>
  </si>
  <si>
    <t xml:space="preserve">PERB01-JP-CT-28</t>
  </si>
  <si>
    <t xml:space="preserve">CAAL01-FR-BG-02</t>
  </si>
  <si>
    <t xml:space="preserve">ADIC01-SG-PA-01</t>
  </si>
  <si>
    <t xml:space="preserve">AMIC01-SG-BT-01</t>
  </si>
  <si>
    <t xml:space="preserve">CAAL02-CN-BG-01</t>
  </si>
  <si>
    <t xml:space="preserve">หมายเหตุ: "Available ณ แถววันซ้ำ" = ตัวเลขในคอลัมน์ Available Qty ของแถวแรกในวันที่ซ้ำกันนั้น — จุดนี้คือจุดที่เคยเพี้ยน (เคส PERB01-JP-CT-28 SAP = 104 แต่ของเดิมขึ้น 1)</t>
  </si>
  <si>
    <r>
      <rPr>
        <b val="true"/>
        <sz val="12"/>
        <color rgb="FF1F3864"/>
        <rFont val="Tahoma"/>
        <family val="0"/>
        <charset val="1"/>
      </rPr>
      <t xml:space="preserve">Test Evidence — </t>
    </r>
    <r>
      <rPr>
        <b val="true"/>
        <sz val="12"/>
        <color rgb="FF1F3864"/>
        <rFont val="FreeSans"/>
        <family val="2"/>
      </rPr>
      <t xml:space="preserve">ภาพ </t>
    </r>
    <r>
      <rPr>
        <b val="true"/>
        <sz val="12"/>
        <color rgb="FF1F3864"/>
        <rFont val="Tahoma"/>
        <family val="0"/>
        <charset val="1"/>
      </rPr>
      <t xml:space="preserve">SAP MD04 </t>
    </r>
    <r>
      <rPr>
        <b val="true"/>
        <sz val="12"/>
        <color rgb="FF1F3864"/>
        <rFont val="FreeSans"/>
        <family val="2"/>
      </rPr>
      <t xml:space="preserve">เทียบ </t>
    </r>
    <r>
      <rPr>
        <b val="true"/>
        <sz val="12"/>
        <color rgb="FF1F3864"/>
        <rFont val="Tahoma"/>
        <family val="0"/>
        <charset val="1"/>
      </rPr>
      <t xml:space="preserve">Dashboard MD04</t>
    </r>
  </si>
  <si>
    <r>
      <rPr>
        <sz val="9"/>
        <color rgb="FF595959"/>
        <rFont val="Tahoma"/>
        <family val="0"/>
        <charset val="1"/>
      </rPr>
      <t xml:space="preserve">material </t>
    </r>
    <r>
      <rPr>
        <sz val="9"/>
        <color rgb="FF595959"/>
        <rFont val="FreeSans"/>
        <family val="2"/>
      </rPr>
      <t xml:space="preserve">ละ </t>
    </r>
    <r>
      <rPr>
        <sz val="9"/>
        <color rgb="FF595959"/>
        <rFont val="Tahoma"/>
        <family val="0"/>
        <charset val="1"/>
      </rPr>
      <t xml:space="preserve">2 </t>
    </r>
    <r>
      <rPr>
        <sz val="9"/>
        <color rgb="FF595959"/>
        <rFont val="FreeSans"/>
        <family val="2"/>
      </rPr>
      <t xml:space="preserve">ภาพ </t>
    </r>
    <r>
      <rPr>
        <sz val="9"/>
        <color rgb="FF595959"/>
        <rFont val="Tahoma"/>
        <family val="0"/>
        <charset val="1"/>
      </rPr>
      <t xml:space="preserve">· </t>
    </r>
    <r>
      <rPr>
        <sz val="9"/>
        <color rgb="FF595959"/>
        <rFont val="FreeSans"/>
        <family val="2"/>
      </rPr>
      <t xml:space="preserve">ต้องใช้ </t>
    </r>
    <r>
      <rPr>
        <sz val="9"/>
        <color rgb="FF595959"/>
        <rFont val="Tahoma"/>
        <family val="0"/>
        <charset val="1"/>
      </rPr>
      <t xml:space="preserve">material </t>
    </r>
    <r>
      <rPr>
        <sz val="9"/>
        <color rgb="FF595959"/>
        <rFont val="FreeSans"/>
        <family val="2"/>
      </rPr>
      <t xml:space="preserve">และ </t>
    </r>
    <r>
      <rPr>
        <sz val="9"/>
        <color rgb="FF595959"/>
        <rFont val="Tahoma"/>
        <family val="0"/>
        <charset val="1"/>
      </rPr>
      <t xml:space="preserve">plant </t>
    </r>
    <r>
      <rPr>
        <sz val="9"/>
        <color rgb="FF595959"/>
        <rFont val="FreeSans"/>
        <family val="2"/>
      </rPr>
      <t xml:space="preserve">เดียวกัน ถ่ายให้เห็นคอลัมน์ </t>
    </r>
    <r>
      <rPr>
        <sz val="9"/>
        <color rgb="FF595959"/>
        <rFont val="Tahoma"/>
        <family val="0"/>
        <charset val="1"/>
      </rPr>
      <t xml:space="preserve">Date / MRP element / Receipt-Reqmt / Available Qty</t>
    </r>
  </si>
  <si>
    <t xml:space="preserve">  1. PERB01-JP-CT-28</t>
  </si>
  <si>
    <r>
      <rPr>
        <b val="true"/>
        <sz val="10"/>
        <rFont val="Tahoma"/>
        <family val="0"/>
        <charset val="1"/>
      </rPr>
      <t xml:space="preserve">E01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</si>
  <si>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t xml:space="preserve">⬇  วางภาพที่นี่</t>
  </si>
  <si>
    <r>
      <rPr>
        <b val="true"/>
        <sz val="10"/>
        <rFont val="Tahoma"/>
        <family val="0"/>
        <charset val="1"/>
      </rPr>
      <t xml:space="preserve">E02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</si>
  <si>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2. CAAL01-FR-BG-02</t>
  </si>
  <si>
    <r>
      <rPr>
        <b val="true"/>
        <sz val="10"/>
        <rFont val="Tahoma"/>
        <family val="0"/>
        <charset val="1"/>
      </rPr>
      <t xml:space="preserve">E03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</si>
  <si>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E04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</si>
  <si>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3. ADIC01-SG-PA-01</t>
  </si>
  <si>
    <r>
      <rPr>
        <b val="true"/>
        <sz val="10"/>
        <rFont val="Tahoma"/>
        <family val="0"/>
        <charset val="1"/>
      </rPr>
      <t xml:space="preserve">E05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</si>
  <si>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E06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</si>
  <si>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4. AMIC01-SG-BT-01</t>
  </si>
  <si>
    <r>
      <rPr>
        <b val="true"/>
        <sz val="10"/>
        <rFont val="Tahoma"/>
        <family val="0"/>
        <charset val="1"/>
      </rPr>
      <t xml:space="preserve">E07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</si>
  <si>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E08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</si>
  <si>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5. CAAL02-CN-BG-01</t>
  </si>
  <si>
    <r>
      <rPr>
        <b val="true"/>
        <sz val="10"/>
        <rFont val="Tahoma"/>
        <family val="0"/>
        <charset val="1"/>
      </rPr>
      <t xml:space="preserve">E09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</si>
  <si>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E10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</si>
  <si>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6. Material #6</t>
  </si>
  <si>
    <r>
      <rPr>
        <b val="true"/>
        <sz val="10"/>
        <rFont val="Tahoma"/>
        <family val="0"/>
        <charset val="1"/>
      </rPr>
      <t xml:space="preserve">E11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</si>
  <si>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E12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</si>
  <si>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7. Material #7</t>
  </si>
  <si>
    <r>
      <rPr>
        <b val="true"/>
        <sz val="10"/>
        <rFont val="Tahoma"/>
        <family val="0"/>
        <charset val="1"/>
      </rPr>
      <t xml:space="preserve">E13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</si>
  <si>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E14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</si>
  <si>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8. Material #8</t>
  </si>
  <si>
    <r>
      <rPr>
        <b val="true"/>
        <sz val="10"/>
        <rFont val="Tahoma"/>
        <family val="0"/>
        <charset val="1"/>
      </rPr>
      <t xml:space="preserve">E15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</si>
  <si>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E16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</si>
  <si>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9. Material #9</t>
  </si>
  <si>
    <r>
      <rPr>
        <b val="true"/>
        <sz val="10"/>
        <rFont val="Tahoma"/>
        <family val="0"/>
        <charset val="1"/>
      </rPr>
      <t xml:space="preserve">E17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</si>
  <si>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E18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</si>
  <si>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10. Material #10</t>
  </si>
  <si>
    <r>
      <rPr>
        <b val="true"/>
        <sz val="10"/>
        <rFont val="Tahoma"/>
        <family val="0"/>
        <charset val="1"/>
      </rPr>
      <t xml:space="preserve">E19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</si>
  <si>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E20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</si>
</sst>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Tahoma"/>
      <family val="0"/>
      <charset val="1"/>
    </font>
    <font>
      <sz val="9"/>
      <color rgb="FF595959"/>
      <name val="FreeSans"/>
      <family val="2"/>
    </font>
    <font>
      <sz val="9"/>
      <color rgb="FF595959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2"/>
      <color rgb="FF00610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name val="FreeSans"/>
      <family val="2"/>
    </font>
    <font>
      <i val="true"/>
      <sz val="9"/>
      <color rgb="FF595959"/>
      <name val="FreeSans"/>
      <family val="2"/>
    </font>
    <font>
      <i val="true"/>
      <sz val="9"/>
      <color rgb="FF595959"/>
      <name val="Tahoma"/>
      <family val="0"/>
      <charset val="1"/>
    </font>
    <font>
      <b val="true"/>
      <sz val="12"/>
      <color rgb="FFFFFFFF"/>
      <name val="FreeSans"/>
      <family val="2"/>
      <charset val="1"/>
    </font>
    <font>
      <sz val="9"/>
      <color rgb="FF595959"/>
      <name val="FreeSans"/>
      <family val="2"/>
      <charset val="1"/>
    </font>
    <font>
      <b val="true"/>
      <sz val="10"/>
      <color rgb="FFFFFFFF"/>
      <name val="FreeSans"/>
      <family val="2"/>
      <charset val="1"/>
    </font>
    <font>
      <b val="true"/>
      <sz val="10"/>
      <color rgb="FFFFFFFF"/>
      <name val="FreeSans"/>
      <family val="2"/>
    </font>
    <font>
      <b val="true"/>
      <sz val="12"/>
      <color rgb="FF1F3864"/>
      <name val="Tahoma"/>
      <family val="0"/>
      <charset val="1"/>
    </font>
    <font>
      <b val="true"/>
      <sz val="12"/>
      <color rgb="FF1F3864"/>
      <name val="FreeSans"/>
      <family val="2"/>
    </font>
    <font>
      <b val="true"/>
      <sz val="11"/>
      <color rgb="FFFFFFFF"/>
      <name val="Tahoma"/>
      <family val="0"/>
      <charset val="1"/>
    </font>
    <font>
      <sz val="8"/>
      <color rgb="FFBFBFBF"/>
      <name val="Free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DEDED"/>
      </patternFill>
    </fill>
    <fill>
      <patternFill patternType="solid">
        <fgColor rgb="FFFFF9D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Tahoma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Tahoma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Tahoma"/>
        <charset val="1"/>
        <family val="0"/>
        <color rgb="FF595959"/>
        <sz val="10"/>
      </font>
      <fill>
        <patternFill>
          <bgColor rgb="FFEDEDED"/>
        </patternFill>
      </fill>
    </dxf>
    <dxf>
      <font>
        <name val="Tahoma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Tahoma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5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5" t="s">
        <v>4</v>
      </c>
      <c r="F4" s="6" t="n">
        <f aca="false">COUNTA(C11:C17)</f>
        <v>7</v>
      </c>
      <c r="G4" s="7" t="s">
        <v>5</v>
      </c>
    </row>
    <row r="5" customFormat="false" ht="15" hidden="false" customHeight="false" outlineLevel="0" collapsed="false">
      <c r="A5" s="3" t="s">
        <v>6</v>
      </c>
      <c r="B5" s="3"/>
      <c r="C5" s="4" t="s">
        <v>7</v>
      </c>
      <c r="D5" s="4"/>
      <c r="E5" s="5" t="s">
        <v>8</v>
      </c>
      <c r="F5" s="8" t="n">
        <f aca="false">COUNTIFS(C11:C17,"&lt;&gt;",E11:E17,"Pass")</f>
        <v>0</v>
      </c>
      <c r="G5" s="9" t="n">
        <f aca="false">IF(F4=0,0,F5/F4)</f>
        <v>0</v>
      </c>
    </row>
    <row r="6" customFormat="false" ht="15" hidden="false" customHeight="true" outlineLevel="0" collapsed="false">
      <c r="A6" s="3" t="s">
        <v>9</v>
      </c>
      <c r="B6" s="3"/>
      <c r="C6" s="10"/>
      <c r="D6" s="10"/>
      <c r="E6" s="5" t="s">
        <v>10</v>
      </c>
      <c r="F6" s="8" t="n">
        <f aca="false">COUNTIFS(C11:C17,"&lt;&gt;",E11:E17,"Fail")</f>
        <v>0</v>
      </c>
      <c r="G6" s="11" t="s">
        <v>11</v>
      </c>
    </row>
    <row r="7" customFormat="false" ht="15" hidden="false" customHeight="false" outlineLevel="0" collapsed="false">
      <c r="A7" s="3" t="s">
        <v>12</v>
      </c>
      <c r="B7" s="3"/>
      <c r="C7" s="10"/>
      <c r="D7" s="10"/>
      <c r="E7" s="5" t="s">
        <v>13</v>
      </c>
      <c r="F7" s="8" t="n">
        <f aca="false">COUNTIFS(C11:C17,"&lt;&gt;",E11:E17,"Pending")</f>
        <v>7</v>
      </c>
      <c r="G7" s="11"/>
    </row>
    <row r="8" customFormat="false" ht="15" hidden="false" customHeight="false" outlineLevel="0" collapsed="false">
      <c r="A8" s="3" t="s">
        <v>14</v>
      </c>
      <c r="B8" s="3"/>
      <c r="C8" s="12" t="s">
        <v>15</v>
      </c>
      <c r="D8" s="12"/>
      <c r="E8" s="5" t="s">
        <v>16</v>
      </c>
      <c r="F8" s="8" t="n">
        <f aca="false">COUNTIFS(C11:C17,"&lt;&gt;",E11:E17,"N/A")</f>
        <v>0</v>
      </c>
      <c r="G8" s="11"/>
    </row>
    <row r="10" customFormat="false" ht="21.75" hidden="false" customHeight="true" outlineLevel="0" collapsed="false">
      <c r="A10" s="13" t="s">
        <v>17</v>
      </c>
      <c r="B10" s="13" t="s">
        <v>18</v>
      </c>
      <c r="C10" s="13" t="s">
        <v>19</v>
      </c>
      <c r="D10" s="13" t="s">
        <v>20</v>
      </c>
      <c r="E10" s="13" t="s">
        <v>21</v>
      </c>
      <c r="F10" s="13" t="s">
        <v>22</v>
      </c>
      <c r="G10" s="13" t="s">
        <v>23</v>
      </c>
    </row>
    <row r="11" customFormat="false" ht="45.75" hidden="false" customHeight="true" outlineLevel="0" collapsed="false">
      <c r="A11" s="14" t="s">
        <v>24</v>
      </c>
      <c r="B11" s="15" t="s">
        <v>25</v>
      </c>
      <c r="C11" s="16" t="s">
        <v>26</v>
      </c>
      <c r="D11" s="15" t="s">
        <v>27</v>
      </c>
      <c r="E11" s="17" t="s">
        <v>13</v>
      </c>
      <c r="F11" s="18" t="str">
        <f aca="true">IF(E11="Pass",TEXT(TODAY(),"yyyy-mm-dd"),"")</f>
        <v/>
      </c>
      <c r="G11" s="19"/>
    </row>
    <row r="12" customFormat="false" ht="45.75" hidden="false" customHeight="true" outlineLevel="0" collapsed="false">
      <c r="A12" s="14" t="s">
        <v>28</v>
      </c>
      <c r="B12" s="16" t="s">
        <v>29</v>
      </c>
      <c r="C12" s="15" t="s">
        <v>30</v>
      </c>
      <c r="D12" s="15" t="s">
        <v>31</v>
      </c>
      <c r="E12" s="17" t="s">
        <v>13</v>
      </c>
      <c r="F12" s="18" t="str">
        <f aca="true">IF(E12="Pass",TEXT(TODAY(),"yyyy-mm-dd"),"")</f>
        <v/>
      </c>
      <c r="G12" s="19"/>
    </row>
    <row r="13" customFormat="false" ht="45.75" hidden="false" customHeight="true" outlineLevel="0" collapsed="false">
      <c r="A13" s="14" t="s">
        <v>32</v>
      </c>
      <c r="B13" s="15" t="s">
        <v>33</v>
      </c>
      <c r="C13" s="15" t="s">
        <v>34</v>
      </c>
      <c r="D13" s="15" t="s">
        <v>35</v>
      </c>
      <c r="E13" s="17" t="s">
        <v>13</v>
      </c>
      <c r="F13" s="18" t="str">
        <f aca="true">IF(E13="Pass",TEXT(TODAY(),"yyyy-mm-dd"),"")</f>
        <v/>
      </c>
      <c r="G13" s="19"/>
    </row>
    <row r="14" customFormat="false" ht="45.75" hidden="false" customHeight="true" outlineLevel="0" collapsed="false">
      <c r="A14" s="14" t="s">
        <v>36</v>
      </c>
      <c r="B14" s="15" t="s">
        <v>37</v>
      </c>
      <c r="C14" s="16" t="s">
        <v>38</v>
      </c>
      <c r="D14" s="15" t="s">
        <v>39</v>
      </c>
      <c r="E14" s="17" t="s">
        <v>13</v>
      </c>
      <c r="F14" s="18" t="str">
        <f aca="true">IF(E14="Pass",TEXT(TODAY(),"yyyy-mm-dd"),"")</f>
        <v/>
      </c>
      <c r="G14" s="19"/>
    </row>
    <row r="15" customFormat="false" ht="45.75" hidden="false" customHeight="true" outlineLevel="0" collapsed="false">
      <c r="A15" s="14" t="s">
        <v>40</v>
      </c>
      <c r="B15" s="16" t="s">
        <v>41</v>
      </c>
      <c r="C15" s="16" t="s">
        <v>42</v>
      </c>
      <c r="D15" s="15" t="s">
        <v>43</v>
      </c>
      <c r="E15" s="17" t="s">
        <v>13</v>
      </c>
      <c r="F15" s="18" t="str">
        <f aca="true">IF(E15="Pass",TEXT(TODAY(),"yyyy-mm-dd"),"")</f>
        <v/>
      </c>
      <c r="G15" s="19"/>
    </row>
    <row r="16" customFormat="false" ht="45.75" hidden="false" customHeight="true" outlineLevel="0" collapsed="false">
      <c r="A16" s="14" t="s">
        <v>44</v>
      </c>
      <c r="B16" s="15" t="s">
        <v>45</v>
      </c>
      <c r="C16" s="15" t="s">
        <v>46</v>
      </c>
      <c r="D16" s="15" t="s">
        <v>47</v>
      </c>
      <c r="E16" s="17" t="s">
        <v>13</v>
      </c>
      <c r="F16" s="18" t="str">
        <f aca="true">IF(E16="Pass",TEXT(TODAY(),"yyyy-mm-dd"),"")</f>
        <v/>
      </c>
      <c r="G16" s="19"/>
    </row>
    <row r="17" customFormat="false" ht="45.75" hidden="false" customHeight="true" outlineLevel="0" collapsed="false">
      <c r="A17" s="14" t="s">
        <v>48</v>
      </c>
      <c r="B17" s="15" t="s">
        <v>49</v>
      </c>
      <c r="C17" s="15" t="s">
        <v>50</v>
      </c>
      <c r="D17" s="15" t="s">
        <v>51</v>
      </c>
      <c r="E17" s="17" t="s">
        <v>13</v>
      </c>
      <c r="F17" s="18" t="str">
        <f aca="true">IF(E17="Pass",TEXT(TODAY(),"yyyy-mm-dd"),"")</f>
        <v/>
      </c>
      <c r="G17" s="19"/>
    </row>
    <row r="19" customFormat="false" ht="13.4" hidden="false" customHeight="false" outlineLevel="0" collapsed="false">
      <c r="A19" s="20" t="s">
        <v>52</v>
      </c>
      <c r="B19" s="20"/>
      <c r="C19" s="20"/>
      <c r="D19" s="20"/>
      <c r="E19" s="20"/>
      <c r="F19" s="20"/>
      <c r="G19" s="20"/>
    </row>
    <row r="20" customFormat="false" ht="12.65" hidden="false" customHeight="false" outlineLevel="0" collapsed="false">
      <c r="A20" s="2" t="s">
        <v>53</v>
      </c>
      <c r="B20" s="2"/>
      <c r="C20" s="2"/>
      <c r="D20" s="2"/>
      <c r="E20" s="2"/>
      <c r="F20" s="2"/>
      <c r="G20" s="2"/>
    </row>
    <row r="21" customFormat="false" ht="12.65" hidden="false" customHeight="false" outlineLevel="0" collapsed="false">
      <c r="A21" s="2" t="s">
        <v>54</v>
      </c>
      <c r="B21" s="2"/>
      <c r="C21" s="2"/>
      <c r="D21" s="2"/>
      <c r="E21" s="2"/>
      <c r="F21" s="2"/>
      <c r="G21" s="2"/>
    </row>
    <row r="22" customFormat="false" ht="12.65" hidden="false" customHeight="false" outlineLevel="0" collapsed="false">
      <c r="A22" s="2" t="s">
        <v>55</v>
      </c>
      <c r="B22" s="2"/>
      <c r="C22" s="2"/>
      <c r="D22" s="2"/>
      <c r="E22" s="2"/>
      <c r="F22" s="2"/>
      <c r="G22" s="2"/>
    </row>
    <row r="23" customFormat="false" ht="12.65" hidden="false" customHeight="false" outlineLevel="0" collapsed="false">
      <c r="A23" s="21" t="s">
        <v>56</v>
      </c>
      <c r="B23" s="21"/>
      <c r="C23" s="21"/>
      <c r="D23" s="21"/>
      <c r="E23" s="21"/>
      <c r="F23" s="21"/>
      <c r="G23" s="21"/>
    </row>
  </sheetData>
  <mergeCells count="18">
    <mergeCell ref="A1:G1"/>
    <mergeCell ref="A2:G2"/>
    <mergeCell ref="A4:B4"/>
    <mergeCell ref="C4:D4"/>
    <mergeCell ref="A5:B5"/>
    <mergeCell ref="C5:D5"/>
    <mergeCell ref="A6:B6"/>
    <mergeCell ref="C6:D6"/>
    <mergeCell ref="G6:G8"/>
    <mergeCell ref="A7:B7"/>
    <mergeCell ref="C7:D7"/>
    <mergeCell ref="A8:B8"/>
    <mergeCell ref="C8:D8"/>
    <mergeCell ref="A19:G19"/>
    <mergeCell ref="A20:G20"/>
    <mergeCell ref="A21:G21"/>
    <mergeCell ref="A22:G22"/>
    <mergeCell ref="A23:G23"/>
  </mergeCells>
  <conditionalFormatting sqref="E11:E1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Style="stop" operator="between" showDropDown="false" showErrorMessage="false" showInputMessage="false" sqref="E11:E17" type="list">
      <formula1>"Pending,Pass,Fail,N/A"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6"/>
    <col collapsed="false" customWidth="true" hidden="false" outlineLevel="0" max="2" min="2" style="22" width="22"/>
    <col collapsed="false" customWidth="true" hidden="false" outlineLevel="0" max="4" min="3" style="22" width="11"/>
    <col collapsed="false" customWidth="true" hidden="false" outlineLevel="0" max="6" min="5" style="22" width="13"/>
    <col collapsed="false" customWidth="true" hidden="false" outlineLevel="0" max="8" min="7" style="22" width="15"/>
    <col collapsed="false" customWidth="true" hidden="false" outlineLevel="0" max="9" min="9" style="22" width="12"/>
    <col collapsed="false" customWidth="true" hidden="false" outlineLevel="0" max="11" min="10" style="22" width="15"/>
    <col collapsed="false" customWidth="true" hidden="false" outlineLevel="0" max="12" min="12" style="22" width="13"/>
  </cols>
  <sheetData>
    <row r="1" customFormat="false" ht="24" hidden="false" customHeight="true" outlineLevel="0" collapsed="false">
      <c r="A1" s="23" t="s">
        <v>57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customFormat="false" ht="12" hidden="false" customHeight="true" outlineLevel="0" collapsed="false">
      <c r="A2" s="24" t="s">
        <v>58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customFormat="false" ht="45.75" hidden="false" customHeight="true" outlineLevel="0" collapsed="false">
      <c r="A4" s="13" t="s">
        <v>59</v>
      </c>
      <c r="B4" s="13" t="s">
        <v>60</v>
      </c>
      <c r="C4" s="25" t="s">
        <v>61</v>
      </c>
      <c r="D4" s="25" t="s">
        <v>62</v>
      </c>
      <c r="E4" s="13" t="s">
        <v>63</v>
      </c>
      <c r="F4" s="13" t="s">
        <v>64</v>
      </c>
      <c r="G4" s="13" t="s">
        <v>65</v>
      </c>
      <c r="H4" s="13" t="s">
        <v>66</v>
      </c>
      <c r="I4" s="25" t="s">
        <v>67</v>
      </c>
      <c r="J4" s="13" t="s">
        <v>68</v>
      </c>
      <c r="K4" s="13" t="s">
        <v>69</v>
      </c>
      <c r="L4" s="13" t="s">
        <v>70</v>
      </c>
    </row>
    <row r="5" customFormat="false" ht="19.5" hidden="false" customHeight="true" outlineLevel="0" collapsed="false">
      <c r="A5" s="26" t="n">
        <v>1</v>
      </c>
      <c r="B5" s="27" t="s">
        <v>71</v>
      </c>
      <c r="C5" s="27"/>
      <c r="D5" s="27"/>
      <c r="E5" s="27"/>
      <c r="F5" s="27"/>
      <c r="G5" s="27"/>
      <c r="H5" s="27"/>
      <c r="I5" s="27"/>
      <c r="J5" s="27"/>
      <c r="L5" s="26" t="str">
        <f aca="false">IF(OR(B5="",I5="",COUNT(C5,D5,E5,F5,G5,H5)&lt;6),"Pending",IF(AND(C5=D5,E5=F5,G5=H5,IF(I5="Yes",AND(COUNT(J5,K5)=2,J5=K5),TRUE())),"Match","Check"))</f>
        <v>Pending</v>
      </c>
    </row>
    <row r="6" customFormat="false" ht="19.5" hidden="false" customHeight="true" outlineLevel="0" collapsed="false">
      <c r="A6" s="26" t="n">
        <v>2</v>
      </c>
      <c r="B6" s="27" t="s">
        <v>72</v>
      </c>
      <c r="C6" s="27"/>
      <c r="D6" s="27"/>
      <c r="E6" s="27"/>
      <c r="F6" s="27"/>
      <c r="G6" s="27"/>
      <c r="H6" s="27"/>
      <c r="I6" s="27"/>
      <c r="J6" s="27"/>
      <c r="L6" s="26" t="str">
        <f aca="false">IF(OR(B6="",I6="",COUNT(C6,D6,E6,F6,G6,H6)&lt;6),"Pending",IF(AND(C6=D6,E6=F6,G6=H6,IF(I6="Yes",AND(COUNT(J6,K6)=2,J6=K6),TRUE())),"Match","Check"))</f>
        <v>Pending</v>
      </c>
    </row>
    <row r="7" customFormat="false" ht="19.5" hidden="false" customHeight="true" outlineLevel="0" collapsed="false">
      <c r="A7" s="26" t="n">
        <v>3</v>
      </c>
      <c r="B7" s="27" t="s">
        <v>73</v>
      </c>
      <c r="C7" s="27"/>
      <c r="D7" s="27"/>
      <c r="E7" s="27"/>
      <c r="F7" s="27"/>
      <c r="G7" s="27"/>
      <c r="H7" s="27"/>
      <c r="I7" s="27"/>
      <c r="J7" s="27"/>
      <c r="L7" s="26" t="str">
        <f aca="false">IF(OR(B7="",I7="",COUNT(C7,D7,E7,F7,G7,H7)&lt;6),"Pending",IF(AND(C7=D7,E7=F7,G7=H7,IF(I7="Yes",AND(COUNT(J7,K7)=2,J7=K7),TRUE())),"Match","Check"))</f>
        <v>Pending</v>
      </c>
    </row>
    <row r="8" customFormat="false" ht="19.5" hidden="false" customHeight="true" outlineLevel="0" collapsed="false">
      <c r="A8" s="26" t="n">
        <v>4</v>
      </c>
      <c r="B8" s="27" t="s">
        <v>74</v>
      </c>
      <c r="C8" s="27"/>
      <c r="D8" s="27"/>
      <c r="E8" s="27"/>
      <c r="F8" s="27"/>
      <c r="G8" s="27"/>
      <c r="H8" s="27"/>
      <c r="I8" s="27"/>
      <c r="J8" s="27"/>
      <c r="L8" s="26" t="str">
        <f aca="false">IF(OR(B8="",I8="",COUNT(C8,D8,E8,F8,G8,H8)&lt;6),"Pending",IF(AND(C8=D8,E8=F8,G8=H8,IF(I8="Yes",AND(COUNT(J8,K8)=2,J8=K8),TRUE())),"Match","Check"))</f>
        <v>Pending</v>
      </c>
    </row>
    <row r="9" customFormat="false" ht="19.5" hidden="false" customHeight="true" outlineLevel="0" collapsed="false">
      <c r="A9" s="26" t="n">
        <v>5</v>
      </c>
      <c r="B9" s="27" t="s">
        <v>75</v>
      </c>
      <c r="C9" s="27"/>
      <c r="D9" s="27"/>
      <c r="E9" s="27"/>
      <c r="F9" s="27"/>
      <c r="G9" s="27"/>
      <c r="H9" s="27"/>
      <c r="I9" s="27"/>
      <c r="J9" s="27"/>
      <c r="L9" s="26" t="str">
        <f aca="false">IF(OR(B9="",I9="",COUNT(C9,D9,E9,F9,G9,H9)&lt;6),"Pending",IF(AND(C9=D9,E9=F9,G9=H9,IF(I9="Yes",AND(COUNT(J9,K9)=2,J9=K9),TRUE())),"Match","Check"))</f>
        <v>Pending</v>
      </c>
    </row>
    <row r="10" customFormat="false" ht="19.5" hidden="false" customHeight="true" outlineLevel="0" collapsed="false">
      <c r="A10" s="26" t="n">
        <v>6</v>
      </c>
      <c r="B10" s="27"/>
      <c r="C10" s="27"/>
      <c r="D10" s="27"/>
      <c r="E10" s="27"/>
      <c r="F10" s="27"/>
      <c r="G10" s="27"/>
      <c r="H10" s="27"/>
      <c r="I10" s="27"/>
      <c r="J10" s="27"/>
      <c r="L10" s="26" t="str">
        <f aca="false">IF(OR(B10="",I10="",COUNT(C10,D10,E10,F10,G10,H10)&lt;6),"Pending",IF(AND(C10=D10,E10=F10,G10=H10,IF(I10="Yes",AND(COUNT(J10,K10)=2,J10=K10),TRUE())),"Match","Check"))</f>
        <v>Pending</v>
      </c>
    </row>
    <row r="11" customFormat="false" ht="19.5" hidden="false" customHeight="true" outlineLevel="0" collapsed="false">
      <c r="A11" s="26" t="n">
        <v>7</v>
      </c>
      <c r="B11" s="27"/>
      <c r="C11" s="27"/>
      <c r="D11" s="27"/>
      <c r="E11" s="27"/>
      <c r="F11" s="27"/>
      <c r="G11" s="27"/>
      <c r="H11" s="27"/>
      <c r="I11" s="27"/>
      <c r="J11" s="27"/>
      <c r="L11" s="26" t="str">
        <f aca="false">IF(OR(B11="",I11="",COUNT(C11,D11,E11,F11,G11,H11)&lt;6),"Pending",IF(AND(C11=D11,E11=F11,G11=H11,IF(I11="Yes",AND(COUNT(J11,K11)=2,J11=K11),TRUE())),"Match","Check"))</f>
        <v>Pending</v>
      </c>
    </row>
    <row r="12" customFormat="false" ht="19.5" hidden="false" customHeight="true" outlineLevel="0" collapsed="false">
      <c r="A12" s="26" t="n">
        <v>8</v>
      </c>
      <c r="B12" s="27"/>
      <c r="C12" s="27"/>
      <c r="D12" s="27"/>
      <c r="E12" s="27"/>
      <c r="F12" s="27"/>
      <c r="G12" s="27"/>
      <c r="H12" s="27"/>
      <c r="I12" s="27"/>
      <c r="J12" s="27"/>
      <c r="L12" s="26" t="str">
        <f aca="false">IF(OR(B12="",I12="",COUNT(C12,D12,E12,F12,G12,H12)&lt;6),"Pending",IF(AND(C12=D12,E12=F12,G12=H12,IF(I12="Yes",AND(COUNT(J12,K12)=2,J12=K12),TRUE())),"Match","Check"))</f>
        <v>Pending</v>
      </c>
    </row>
    <row r="13" customFormat="false" ht="19.5" hidden="false" customHeight="true" outlineLevel="0" collapsed="false">
      <c r="A13" s="26" t="n">
        <v>9</v>
      </c>
      <c r="B13" s="27"/>
      <c r="C13" s="27"/>
      <c r="D13" s="27"/>
      <c r="E13" s="27"/>
      <c r="F13" s="27"/>
      <c r="G13" s="27"/>
      <c r="H13" s="27"/>
      <c r="I13" s="27"/>
      <c r="J13" s="27"/>
      <c r="L13" s="26" t="str">
        <f aca="false">IF(OR(B13="",I13="",COUNT(C13,D13,E13,F13,G13,H13)&lt;6),"Pending",IF(AND(C13=D13,E13=F13,G13=H13,IF(I13="Yes",AND(COUNT(J13,K13)=2,J13=K13),TRUE())),"Match","Check"))</f>
        <v>Pending</v>
      </c>
    </row>
    <row r="14" customFormat="false" ht="19.5" hidden="false" customHeight="true" outlineLevel="0" collapsed="false">
      <c r="A14" s="26" t="n">
        <v>10</v>
      </c>
      <c r="B14" s="27"/>
      <c r="C14" s="27"/>
      <c r="D14" s="27"/>
      <c r="E14" s="27"/>
      <c r="F14" s="27"/>
      <c r="G14" s="27"/>
      <c r="H14" s="27"/>
      <c r="I14" s="27"/>
      <c r="J14" s="27"/>
      <c r="L14" s="26" t="str">
        <f aca="false">IF(OR(B14="",I14="",COUNT(C14,D14,E14,F14,G14,H14)&lt;6),"Pending",IF(AND(C14=D14,E14=F14,G14=H14,IF(I14="Yes",AND(COUNT(J14,K14)=2,J14=K14),TRUE())),"Match","Check"))</f>
        <v>Pending</v>
      </c>
    </row>
    <row r="16" customFormat="false" ht="12" hidden="false" customHeight="true" outlineLevel="0" collapsed="false">
      <c r="A16" s="24" t="s">
        <v>76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</row>
  </sheetData>
  <mergeCells count="3">
    <mergeCell ref="A1:L1"/>
    <mergeCell ref="A2:L2"/>
    <mergeCell ref="A16:L16"/>
  </mergeCells>
  <conditionalFormatting sqref="L5:L14">
    <cfRule type="cellIs" priority="2" operator="equal" aboveAverage="0" equalAverage="0" bottom="0" percent="0" rank="0" text="" dxfId="3">
      <formula>"Match"</formula>
    </cfRule>
    <cfRule type="cellIs" priority="3" operator="equal" aboveAverage="0" equalAverage="0" bottom="0" percent="0" rank="0" text="" dxfId="4">
      <formula>"Check"</formula>
    </cfRule>
  </conditionalFormatting>
  <dataValidations count="1">
    <dataValidation allowBlank="true" errorStyle="stop" operator="between" showDropDown="false" showErrorMessage="false" showInputMessage="false" sqref="I5:I1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26"/>
    <col collapsed="false" customWidth="true" hidden="false" outlineLevel="0" max="12" min="2" style="22" width="14"/>
  </cols>
  <sheetData>
    <row r="1" customFormat="false" ht="15.75" hidden="false" customHeight="true" outlineLevel="0" collapsed="false">
      <c r="A1" s="28" t="s">
        <v>77</v>
      </c>
    </row>
    <row r="2" customFormat="false" ht="15" hidden="false" customHeight="true" outlineLevel="0" collapsed="false">
      <c r="A2" s="29" t="s">
        <v>78</v>
      </c>
    </row>
    <row r="4" customFormat="false" ht="21.75" hidden="false" customHeight="true" outlineLevel="0" collapsed="false">
      <c r="A4" s="30" t="s">
        <v>79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6" customFormat="false" ht="12.75" hidden="false" customHeight="true" outlineLevel="0" collapsed="false">
      <c r="A6" s="31" t="s">
        <v>80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customFormat="false" ht="15" hidden="false" customHeight="true" outlineLevel="0" collapsed="false">
      <c r="A7" s="32" t="s">
        <v>81</v>
      </c>
    </row>
    <row r="27" customFormat="false" ht="12.75" hidden="false" customHeight="true" outlineLevel="0" collapsed="false">
      <c r="A27" s="31" t="s">
        <v>82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customFormat="false" ht="15" hidden="false" customHeight="true" outlineLevel="0" collapsed="false">
      <c r="A28" s="32" t="s">
        <v>81</v>
      </c>
    </row>
    <row r="50" customFormat="false" ht="21.75" hidden="false" customHeight="true" outlineLevel="0" collapsed="false">
      <c r="A50" s="30" t="s">
        <v>83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</row>
    <row r="52" customFormat="false" ht="12.75" hidden="false" customHeight="true" outlineLevel="0" collapsed="false">
      <c r="A52" s="31" t="s">
        <v>84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</row>
    <row r="53" customFormat="false" ht="15" hidden="false" customHeight="true" outlineLevel="0" collapsed="false">
      <c r="A53" s="32" t="s">
        <v>81</v>
      </c>
    </row>
    <row r="73" customFormat="false" ht="12.75" hidden="false" customHeight="true" outlineLevel="0" collapsed="false">
      <c r="A73" s="31" t="s">
        <v>85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</row>
    <row r="74" customFormat="false" ht="15" hidden="false" customHeight="true" outlineLevel="0" collapsed="false">
      <c r="A74" s="32" t="s">
        <v>81</v>
      </c>
    </row>
    <row r="96" customFormat="false" ht="21.75" hidden="false" customHeight="true" outlineLevel="0" collapsed="false">
      <c r="A96" s="30" t="s">
        <v>86</v>
      </c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</row>
    <row r="98" customFormat="false" ht="12.75" hidden="false" customHeight="true" outlineLevel="0" collapsed="false">
      <c r="A98" s="31" t="s">
        <v>87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</row>
    <row r="99" customFormat="false" ht="15" hidden="false" customHeight="true" outlineLevel="0" collapsed="false">
      <c r="A99" s="32" t="s">
        <v>81</v>
      </c>
    </row>
    <row r="119" customFormat="false" ht="12.75" hidden="false" customHeight="true" outlineLevel="0" collapsed="false">
      <c r="A119" s="31" t="s">
        <v>88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</row>
    <row r="120" customFormat="false" ht="15" hidden="false" customHeight="true" outlineLevel="0" collapsed="false">
      <c r="A120" s="32" t="s">
        <v>81</v>
      </c>
    </row>
    <row r="142" customFormat="false" ht="21.75" hidden="false" customHeight="true" outlineLevel="0" collapsed="false">
      <c r="A142" s="30" t="s">
        <v>89</v>
      </c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</row>
    <row r="144" customFormat="false" ht="12.75" hidden="false" customHeight="true" outlineLevel="0" collapsed="false">
      <c r="A144" s="31" t="s">
        <v>90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</row>
    <row r="145" customFormat="false" ht="15" hidden="false" customHeight="true" outlineLevel="0" collapsed="false">
      <c r="A145" s="32" t="s">
        <v>81</v>
      </c>
    </row>
    <row r="165" customFormat="false" ht="12.75" hidden="false" customHeight="true" outlineLevel="0" collapsed="false">
      <c r="A165" s="31" t="s">
        <v>91</v>
      </c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</row>
    <row r="166" customFormat="false" ht="15" hidden="false" customHeight="true" outlineLevel="0" collapsed="false">
      <c r="A166" s="32" t="s">
        <v>81</v>
      </c>
    </row>
    <row r="188" customFormat="false" ht="21.75" hidden="false" customHeight="true" outlineLevel="0" collapsed="false">
      <c r="A188" s="30" t="s">
        <v>92</v>
      </c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</row>
    <row r="190" customFormat="false" ht="12.75" hidden="false" customHeight="true" outlineLevel="0" collapsed="false">
      <c r="A190" s="31" t="s">
        <v>93</v>
      </c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</row>
    <row r="191" customFormat="false" ht="15" hidden="false" customHeight="true" outlineLevel="0" collapsed="false">
      <c r="A191" s="32" t="s">
        <v>81</v>
      </c>
    </row>
    <row r="211" customFormat="false" ht="12.75" hidden="false" customHeight="true" outlineLevel="0" collapsed="false">
      <c r="A211" s="31" t="s">
        <v>94</v>
      </c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</row>
    <row r="212" customFormat="false" ht="15" hidden="false" customHeight="true" outlineLevel="0" collapsed="false">
      <c r="A212" s="32" t="s">
        <v>81</v>
      </c>
    </row>
    <row r="234" customFormat="false" ht="21.75" hidden="false" customHeight="true" outlineLevel="0" collapsed="false">
      <c r="A234" s="30" t="s">
        <v>95</v>
      </c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</row>
    <row r="236" customFormat="false" ht="12.75" hidden="false" customHeight="true" outlineLevel="0" collapsed="false">
      <c r="A236" s="31" t="s">
        <v>96</v>
      </c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</row>
    <row r="237" customFormat="false" ht="15" hidden="false" customHeight="true" outlineLevel="0" collapsed="false">
      <c r="A237" s="32" t="s">
        <v>81</v>
      </c>
    </row>
    <row r="257" customFormat="false" ht="12.75" hidden="false" customHeight="true" outlineLevel="0" collapsed="false">
      <c r="A257" s="31" t="s">
        <v>97</v>
      </c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</row>
    <row r="258" customFormat="false" ht="15" hidden="false" customHeight="true" outlineLevel="0" collapsed="false">
      <c r="A258" s="32" t="s">
        <v>81</v>
      </c>
    </row>
    <row r="280" customFormat="false" ht="21.75" hidden="false" customHeight="true" outlineLevel="0" collapsed="false">
      <c r="A280" s="30" t="s">
        <v>98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</row>
    <row r="282" customFormat="false" ht="12.75" hidden="false" customHeight="true" outlineLevel="0" collapsed="false">
      <c r="A282" s="31" t="s">
        <v>99</v>
      </c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</row>
    <row r="283" customFormat="false" ht="15" hidden="false" customHeight="true" outlineLevel="0" collapsed="false">
      <c r="A283" s="32" t="s">
        <v>81</v>
      </c>
    </row>
    <row r="303" customFormat="false" ht="12.75" hidden="false" customHeight="true" outlineLevel="0" collapsed="false">
      <c r="A303" s="31" t="s">
        <v>100</v>
      </c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</row>
    <row r="304" customFormat="false" ht="15" hidden="false" customHeight="true" outlineLevel="0" collapsed="false">
      <c r="A304" s="32" t="s">
        <v>81</v>
      </c>
    </row>
    <row r="326" customFormat="false" ht="21.75" hidden="false" customHeight="true" outlineLevel="0" collapsed="false">
      <c r="A326" s="30" t="s">
        <v>101</v>
      </c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</row>
    <row r="328" customFormat="false" ht="12.75" hidden="false" customHeight="true" outlineLevel="0" collapsed="false">
      <c r="A328" s="31" t="s">
        <v>102</v>
      </c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</row>
    <row r="329" customFormat="false" ht="15" hidden="false" customHeight="true" outlineLevel="0" collapsed="false">
      <c r="A329" s="32" t="s">
        <v>81</v>
      </c>
    </row>
    <row r="349" customFormat="false" ht="12.75" hidden="false" customHeight="true" outlineLevel="0" collapsed="false">
      <c r="A349" s="31" t="s">
        <v>103</v>
      </c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</row>
    <row r="350" customFormat="false" ht="15" hidden="false" customHeight="true" outlineLevel="0" collapsed="false">
      <c r="A350" s="32" t="s">
        <v>81</v>
      </c>
    </row>
    <row r="372" customFormat="false" ht="21.75" hidden="false" customHeight="true" outlineLevel="0" collapsed="false">
      <c r="A372" s="30" t="s">
        <v>104</v>
      </c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</row>
    <row r="374" customFormat="false" ht="12.75" hidden="false" customHeight="true" outlineLevel="0" collapsed="false">
      <c r="A374" s="31" t="s">
        <v>105</v>
      </c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</row>
    <row r="375" customFormat="false" ht="15" hidden="false" customHeight="true" outlineLevel="0" collapsed="false">
      <c r="A375" s="32" t="s">
        <v>81</v>
      </c>
    </row>
    <row r="395" customFormat="false" ht="12.75" hidden="false" customHeight="true" outlineLevel="0" collapsed="false">
      <c r="A395" s="31" t="s">
        <v>106</v>
      </c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</row>
    <row r="396" customFormat="false" ht="15" hidden="false" customHeight="true" outlineLevel="0" collapsed="false">
      <c r="A396" s="32" t="s">
        <v>81</v>
      </c>
    </row>
    <row r="418" customFormat="false" ht="21.75" hidden="false" customHeight="true" outlineLevel="0" collapsed="false">
      <c r="A418" s="30" t="s">
        <v>107</v>
      </c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</row>
    <row r="420" customFormat="false" ht="12.75" hidden="false" customHeight="true" outlineLevel="0" collapsed="false">
      <c r="A420" s="31" t="s">
        <v>108</v>
      </c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</row>
    <row r="421" customFormat="false" ht="15" hidden="false" customHeight="true" outlineLevel="0" collapsed="false">
      <c r="A421" s="32" t="s">
        <v>81</v>
      </c>
    </row>
    <row r="441" customFormat="false" ht="12.75" hidden="false" customHeight="true" outlineLevel="0" collapsed="false">
      <c r="A441" s="31" t="s">
        <v>109</v>
      </c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</row>
    <row r="442" customFormat="false" ht="15" hidden="false" customHeight="true" outlineLevel="0" collapsed="false">
      <c r="A442" s="32" t="s">
        <v>81</v>
      </c>
    </row>
  </sheetData>
  <mergeCells count="30">
    <mergeCell ref="A4:L4"/>
    <mergeCell ref="A6:L6"/>
    <mergeCell ref="A27:L27"/>
    <mergeCell ref="A50:L50"/>
    <mergeCell ref="A52:L52"/>
    <mergeCell ref="A73:L73"/>
    <mergeCell ref="A96:L96"/>
    <mergeCell ref="A98:L98"/>
    <mergeCell ref="A119:L119"/>
    <mergeCell ref="A142:L142"/>
    <mergeCell ref="A144:L144"/>
    <mergeCell ref="A165:L165"/>
    <mergeCell ref="A188:L188"/>
    <mergeCell ref="A190:L190"/>
    <mergeCell ref="A211:L211"/>
    <mergeCell ref="A234:L234"/>
    <mergeCell ref="A236:L236"/>
    <mergeCell ref="A257:L257"/>
    <mergeCell ref="A280:L280"/>
    <mergeCell ref="A282:L282"/>
    <mergeCell ref="A303:L303"/>
    <mergeCell ref="A326:L326"/>
    <mergeCell ref="A328:L328"/>
    <mergeCell ref="A349:L349"/>
    <mergeCell ref="A372:L372"/>
    <mergeCell ref="A374:L374"/>
    <mergeCell ref="A395:L395"/>
    <mergeCell ref="A418:L418"/>
    <mergeCell ref="A420:L420"/>
    <mergeCell ref="A441:L4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2026-10-29T03:14:20Z</dcterms:created>
  <dc:creator>openpyxl</dc:creator>
  <dc:description/>
  <dc:language>en-US</dc:language>
  <cp:lastModifiedBy/>
  <dcterms:modified xsi:type="dcterms:W3CDTF">2026-10-29T03:19:17Z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